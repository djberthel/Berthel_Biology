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c8dd9abb2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P_Terminology" sheetId="1" r:id="R0501bc323acc4c03"/>
    <x:sheet xmlns:r="http://schemas.openxmlformats.org/officeDocument/2006/relationships" name="Word_Parts" sheetId="2" r:id="Rdceccc8a17044019"/>
    <x:sheet xmlns:r="http://schemas.openxmlformats.org/officeDocument/2006/relationships" name="Coverage" sheetId="3" r:id="Ra87e2cac174c4581"/>
    <x:sheet xmlns:r="http://schemas.openxmlformats.org/officeDocument/2006/relationships" name="QA_Summary" sheetId="4" r:id="R2c50962bc94d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18"/>
      <x:color rgb="FFFFFFFF"/>
      <x:name val="Carlito"/>
    </x:font>
    <x:font>
      <x:i/>
      <x:sz val="11"/>
      <x:color rgb="FF52525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3">
    <x:border/>
    <x:border>
      <x:left style="thin">
        <x:color rgb="FF27272A"/>
      </x:left>
      <x:right style="thin">
        <x:color rgb="FF27272A"/>
      </x:right>
      <x:top style="thin">
        <x:color rgb="FF27272A"/>
      </x:top>
      <x:bottom style="thin">
        <x:color rgb="FF27272A"/>
      </x:bottom>
    </x:border>
    <x:border>
      <x:left style="thin">
        <x:color rgb="FFD4D4D8"/>
      </x:left>
      <x:right style="thin">
        <x:color rgb="FFD4D4D8"/>
      </x:right>
      <x:top style="thin">
        <x:color rgb="FFD4D4D8"/>
      </x:top>
      <x:bottom style="thin">
        <x:color rgb="FFD4D4D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11111"/>
      </x:font>
      <x:fill>
        <x:patternFill patternType="solid">
          <x:bgColor rgb="FFE7E5E4"/>
        </x:patternFill>
      </x:fill>
    </x:dxf>
    <x:dxf>
      <x:font>
        <x:b/>
        <x:color rgb="FF111111"/>
      </x:font>
      <x:fill>
        <x:patternFill patternType="solid">
          <x:bgColor rgb="FFE7E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f5a5c09f9470d" /><Relationship Type="http://schemas.openxmlformats.org/officeDocument/2006/relationships/theme" Target="/xl/theme/theme1.xml" Id="Rb482bbf2adfd480c" /><Relationship Type="http://schemas.openxmlformats.org/officeDocument/2006/relationships/sharedStrings" Target="/xl/sharedStrings.xml" Id="Re5c6f7cb8fad49e9" /><Relationship Type="http://schemas.openxmlformats.org/officeDocument/2006/relationships/worksheet" Target="/xl/worksheets/sheet1.xml" Id="R0501bc323acc4c03" /><Relationship Type="http://schemas.openxmlformats.org/officeDocument/2006/relationships/worksheet" Target="/xl/worksheets/sheet2.xml" Id="Rdceccc8a17044019" /><Relationship Type="http://schemas.openxmlformats.org/officeDocument/2006/relationships/worksheet" Target="/xl/worksheets/sheet3.xml" Id="Ra87e2cac174c4581" /><Relationship Type="http://schemas.openxmlformats.org/officeDocument/2006/relationships/worksheet" Target="/xl/worksheets/sheet4.xml" Id="R2c50962bc94d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add973817a4b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Verified terminology by theme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DP Terms</c:v>
          </c:tx>
          <c:cat>
            <c:strRef>
              <c:f>'Coverage'!$I$6:$I$9</c:f>
              <c:strCache>
                <c:ptCount val="0"/>
              </c:strCache>
            </c:strRef>
          </c:cat>
          <c:val>
            <c:numRef>
              <c:f>'Coverage'!$J$6:$J$9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10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add973817a4b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PTerminologyTable" displayName="DPTerminologyTable" ref="A1:J674" headerRowCount="1" totalsRowCount="0" totalsRowShown="0">
  <x:tableColumns count="10">
    <x:tableColumn id="1" name="ID"/>
    <x:tableColumn id="2" name="DP Code"/>
    <x:tableColumn id="3" name="Theme"/>
    <x:tableColumn id="4" name="Topic"/>
    <x:tableColumn id="5" name="Level"/>
    <x:tableColumn id="6" name="Term"/>
    <x:tableColumn id="7" name="Definition"/>
    <x:tableColumn id="8" name="Source Title"/>
    <x:tableColumn id="9" name="Source URL"/>
    <x:tableColumn id="10" name="Review Status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WordPartsTable" displayName="WordPartsTable" ref="A1:H107" headerRowCount="1" totalsRowCount="0" totalsRowShown="0">
  <x:tableColumns count="8">
    <x:tableColumn id="1" name="ID"/>
    <x:tableColumn id="2" name="Word Part"/>
    <x:tableColumn id="3" name="Meaning"/>
    <x:tableColumn id="4" name="Examples"/>
    <x:tableColumn id="5" name="Ambiguity Group"/>
    <x:tableColumn id="6" name="Source Title"/>
    <x:tableColumn id="7" name="Source URL"/>
    <x:tableColumn id="8" name="Review Statu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a723fc581747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0562882391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ab6950c832a4d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5" hidden="0" customWidth="1"/>
    <x:col min="4" max="4" width="30" hidden="0" customWidth="1"/>
    <x:col min="5" max="5" width="9" hidden="0" customWidth="1"/>
    <x:col min="6" max="6" width="31" hidden="0" customWidth="1"/>
    <x:col min="7" max="7" width="82" hidden="0" customWidth="1"/>
    <x:col min="8" max="8" width="38" hidden="0" customWidth="1"/>
    <x:col min="9" max="9" width="58" hidden="0" customWidth="1"/>
    <x:col min="10" max="10" width="14" hidden="0" customWidth="1"/>
  </x:cols>
  <x:sheetData>
    <x:row r="1" ht="30" customHeight="1">
      <x:c r="A1" s="5" t="str">
        <x:v>ID</x:v>
      </x:c>
      <x:c r="B1" s="5" t="str">
        <x:v>DP Code</x:v>
      </x:c>
      <x:c r="C1" s="5" t="str">
        <x:v>Theme</x:v>
      </x:c>
      <x:c r="D1" s="5" t="str">
        <x:v>Topic</x:v>
      </x:c>
      <x:c r="E1" s="5" t="str">
        <x:v>Level</x:v>
      </x:c>
      <x:c r="F1" s="5" t="str">
        <x:v>Term</x:v>
      </x:c>
      <x:c r="G1" s="5" t="str">
        <x:v>Definition</x:v>
      </x:c>
      <x:c r="H1" s="5" t="str">
        <x:v>Source Title</x:v>
      </x:c>
      <x:c r="I1" s="5" t="str">
        <x:v>Source URL</x:v>
      </x:c>
      <x:c r="J1" s="5" t="str">
        <x:v>Review Status</x:v>
      </x:c>
    </x:row>
    <x:row r="2" ht="42" customHeight="1">
      <x:c r="A2" s="8" t="str">
        <x:v>A1.1-01</x:v>
      </x:c>
      <x:c r="B2" s="8" t="str">
        <x:v>A1.1</x:v>
      </x:c>
      <x:c r="C2" s="9" t="str">
        <x:v>Unity and diversity</x:v>
      </x:c>
      <x:c r="D2" s="9" t="str">
        <x:v>Water</x:v>
      </x:c>
      <x:c r="E2" s="9" t="str">
        <x:v>SL/HL</x:v>
      </x:c>
      <x:c r="F2" s="9" t="str">
        <x:v>Polar molecule</x:v>
      </x:c>
      <x:c r="G2" s="9" t="str">
        <x:v>A molecule with an uneven charge distribution caused by unequal sharing of electrons.</x:v>
      </x:c>
      <x:c r="H2" s="9" t="str">
        <x:v>OpenStax Biology 2e, 2.2 Water</x:v>
      </x:c>
      <x:c r="I2" s="9" t="str">
        <x:v>https://openstax.org/books/biology-2e/pages/2-2-water</x:v>
      </x:c>
      <x:c r="J2" s="9" t="str">
        <x:v>Verified</x:v>
      </x:c>
    </x:row>
    <x:row r="3" ht="42" customHeight="1">
      <x:c r="A3" s="8" t="str">
        <x:v>A1.1-02</x:v>
      </x:c>
      <x:c r="B3" s="8" t="str">
        <x:v>A1.1</x:v>
      </x:c>
      <x:c r="C3" s="9" t="str">
        <x:v>Unity and diversity</x:v>
      </x:c>
      <x:c r="D3" s="9" t="str">
        <x:v>Water</x:v>
      </x:c>
      <x:c r="E3" s="9" t="str">
        <x:v>SL/HL</x:v>
      </x:c>
      <x:c r="F3" s="9" t="str">
        <x:v>Electronegativity</x:v>
      </x:c>
      <x:c r="G3" s="9" t="str">
        <x:v>An atom’s relative ability to attract shared electrons in a covalent bond.</x:v>
      </x:c>
      <x:c r="H3" s="9" t="str">
        <x:v>OpenStax Biology 2e, 2.2 Water</x:v>
      </x:c>
      <x:c r="I3" s="9" t="str">
        <x:v>https://openstax.org/books/biology-2e/pages/2-2-water</x:v>
      </x:c>
      <x:c r="J3" s="9" t="str">
        <x:v>Verified</x:v>
      </x:c>
    </x:row>
    <x:row r="4" ht="42" customHeight="1">
      <x:c r="A4" s="8" t="str">
        <x:v>A1.1-03</x:v>
      </x:c>
      <x:c r="B4" s="8" t="str">
        <x:v>A1.1</x:v>
      </x:c>
      <x:c r="C4" s="9" t="str">
        <x:v>Unity and diversity</x:v>
      </x:c>
      <x:c r="D4" s="9" t="str">
        <x:v>Water</x:v>
      </x:c>
      <x:c r="E4" s="9" t="str">
        <x:v>SL/HL</x:v>
      </x:c>
      <x:c r="F4" s="9" t="str">
        <x:v>Hydrogen bond</x:v>
      </x:c>
      <x:c r="G4" s="9" t="str">
        <x:v>A weak attraction between a partially positive hydrogen atom and a nearby electronegative atom.</x:v>
      </x:c>
      <x:c r="H4" s="9" t="str">
        <x:v>OpenStax Biology 2e, 2.2 Water</x:v>
      </x:c>
      <x:c r="I4" s="9" t="str">
        <x:v>https://openstax.org/books/biology-2e/pages/2-2-water</x:v>
      </x:c>
      <x:c r="J4" s="9" t="str">
        <x:v>Verified</x:v>
      </x:c>
    </x:row>
    <x:row r="5" ht="42" customHeight="1">
      <x:c r="A5" s="8" t="str">
        <x:v>A1.1-04</x:v>
      </x:c>
      <x:c r="B5" s="8" t="str">
        <x:v>A1.1</x:v>
      </x:c>
      <x:c r="C5" s="9" t="str">
        <x:v>Unity and diversity</x:v>
      </x:c>
      <x:c r="D5" s="9" t="str">
        <x:v>Water</x:v>
      </x:c>
      <x:c r="E5" s="9" t="str">
        <x:v>SL/HL</x:v>
      </x:c>
      <x:c r="F5" s="9" t="str">
        <x:v>Cohesion</x:v>
      </x:c>
      <x:c r="G5" s="9" t="str">
        <x:v>Attraction between molecules of the same substance, as occurs between water molecules.</x:v>
      </x:c>
      <x:c r="H5" s="9" t="str">
        <x:v>OpenStax Biology 2e, 2.2 Water</x:v>
      </x:c>
      <x:c r="I5" s="9" t="str">
        <x:v>https://openstax.org/books/biology-2e/pages/2-2-water</x:v>
      </x:c>
      <x:c r="J5" s="9" t="str">
        <x:v>Verified</x:v>
      </x:c>
    </x:row>
    <x:row r="6" ht="42" customHeight="1">
      <x:c r="A6" s="8" t="str">
        <x:v>A1.1-05</x:v>
      </x:c>
      <x:c r="B6" s="8" t="str">
        <x:v>A1.1</x:v>
      </x:c>
      <x:c r="C6" s="9" t="str">
        <x:v>Unity and diversity</x:v>
      </x:c>
      <x:c r="D6" s="9" t="str">
        <x:v>Water</x:v>
      </x:c>
      <x:c r="E6" s="9" t="str">
        <x:v>SL/HL</x:v>
      </x:c>
      <x:c r="F6" s="9" t="str">
        <x:v>Adhesion</x:v>
      </x:c>
      <x:c r="G6" s="9" t="str">
        <x:v>Attraction between molecules of different substances, such as water and a vessel wall.</x:v>
      </x:c>
      <x:c r="H6" s="9" t="str">
        <x:v>OpenStax Biology 2e, 2.2 Water</x:v>
      </x:c>
      <x:c r="I6" s="9" t="str">
        <x:v>https://openstax.org/books/biology-2e/pages/2-2-water</x:v>
      </x:c>
      <x:c r="J6" s="9" t="str">
        <x:v>Verified</x:v>
      </x:c>
    </x:row>
    <x:row r="7" ht="42" customHeight="1">
      <x:c r="A7" s="8" t="str">
        <x:v>A1.1-06</x:v>
      </x:c>
      <x:c r="B7" s="8" t="str">
        <x:v>A1.1</x:v>
      </x:c>
      <x:c r="C7" s="9" t="str">
        <x:v>Unity and diversity</x:v>
      </x:c>
      <x:c r="D7" s="9" t="str">
        <x:v>Water</x:v>
      </x:c>
      <x:c r="E7" s="9" t="str">
        <x:v>SL/HL</x:v>
      </x:c>
      <x:c r="F7" s="9" t="str">
        <x:v>Surface tension</x:v>
      </x:c>
      <x:c r="G7" s="9" t="str">
        <x:v>Resistance of a liquid surface to deformation because its surface molecules attract one another.</x:v>
      </x:c>
      <x:c r="H7" s="9" t="str">
        <x:v>OpenStax Biology 2e, 2.2 Water</x:v>
      </x:c>
      <x:c r="I7" s="9" t="str">
        <x:v>https://openstax.org/books/biology-2e/pages/2-2-water</x:v>
      </x:c>
      <x:c r="J7" s="9" t="str">
        <x:v>Verified</x:v>
      </x:c>
    </x:row>
    <x:row r="8" ht="42" customHeight="1">
      <x:c r="A8" s="8" t="str">
        <x:v>A1.1-07</x:v>
      </x:c>
      <x:c r="B8" s="8" t="str">
        <x:v>A1.1</x:v>
      </x:c>
      <x:c r="C8" s="9" t="str">
        <x:v>Unity and diversity</x:v>
      </x:c>
      <x:c r="D8" s="9" t="str">
        <x:v>Water</x:v>
      </x:c>
      <x:c r="E8" s="9" t="str">
        <x:v>SL/HL</x:v>
      </x:c>
      <x:c r="F8" s="9" t="str">
        <x:v>Capillary action</x:v>
      </x:c>
      <x:c r="G8" s="9" t="str">
        <x:v>Movement of liquid through a narrow space produced by adhesion, cohesion, and surface tension.</x:v>
      </x:c>
      <x:c r="H8" s="9" t="str">
        <x:v>OpenStax Biology 2e, 2.2 Water</x:v>
      </x:c>
      <x:c r="I8" s="9" t="str">
        <x:v>https://openstax.org/books/biology-2e/pages/2-2-water</x:v>
      </x:c>
      <x:c r="J8" s="9" t="str">
        <x:v>Verified</x:v>
      </x:c>
    </x:row>
    <x:row r="9" ht="42" customHeight="1">
      <x:c r="A9" s="8" t="str">
        <x:v>A1.1-08</x:v>
      </x:c>
      <x:c r="B9" s="8" t="str">
        <x:v>A1.1</x:v>
      </x:c>
      <x:c r="C9" s="9" t="str">
        <x:v>Unity and diversity</x:v>
      </x:c>
      <x:c r="D9" s="9" t="str">
        <x:v>Water</x:v>
      </x:c>
      <x:c r="E9" s="9" t="str">
        <x:v>SL/HL</x:v>
      </x:c>
      <x:c r="F9" s="9" t="str">
        <x:v>Solvent</x:v>
      </x:c>
      <x:c r="G9" s="9" t="str">
        <x:v>The dissolving medium in a solution; water fills this role in most cells.</x:v>
      </x:c>
      <x:c r="H9" s="9" t="str">
        <x:v>OpenStax Biology 2e, 2.2 Water</x:v>
      </x:c>
      <x:c r="I9" s="9" t="str">
        <x:v>https://openstax.org/books/biology-2e/pages/2-2-water</x:v>
      </x:c>
      <x:c r="J9" s="9" t="str">
        <x:v>Verified</x:v>
      </x:c>
    </x:row>
    <x:row r="10" ht="42" customHeight="1">
      <x:c r="A10" s="8" t="str">
        <x:v>A1.1-09</x:v>
      </x:c>
      <x:c r="B10" s="8" t="str">
        <x:v>A1.1</x:v>
      </x:c>
      <x:c r="C10" s="9" t="str">
        <x:v>Unity and diversity</x:v>
      </x:c>
      <x:c r="D10" s="9" t="str">
        <x:v>Water</x:v>
      </x:c>
      <x:c r="E10" s="9" t="str">
        <x:v>SL/HL</x:v>
      </x:c>
      <x:c r="F10" s="9" t="str">
        <x:v>Solute</x:v>
      </x:c>
      <x:c r="G10" s="9" t="str">
        <x:v>A substance dissolved and uniformly dispersed within a solvent.</x:v>
      </x:c>
      <x:c r="H10" s="9" t="str">
        <x:v>OpenStax Biology 2e, 2.2 Water</x:v>
      </x:c>
      <x:c r="I10" s="9" t="str">
        <x:v>https://openstax.org/books/biology-2e/pages/2-2-water</x:v>
      </x:c>
      <x:c r="J10" s="9" t="str">
        <x:v>Verified</x:v>
      </x:c>
    </x:row>
    <x:row r="11" ht="42" customHeight="1">
      <x:c r="A11" s="8" t="str">
        <x:v>A1.1-10</x:v>
      </x:c>
      <x:c r="B11" s="8" t="str">
        <x:v>A1.1</x:v>
      </x:c>
      <x:c r="C11" s="9" t="str">
        <x:v>Unity and diversity</x:v>
      </x:c>
      <x:c r="D11" s="9" t="str">
        <x:v>Water</x:v>
      </x:c>
      <x:c r="E11" s="9" t="str">
        <x:v>SL/HL</x:v>
      </x:c>
      <x:c r="F11" s="9" t="str">
        <x:v>Aqueous solution</x:v>
      </x:c>
      <x:c r="G11" s="9" t="str">
        <x:v>A homogeneous mixture in which water is the dissolving medium.</x:v>
      </x:c>
      <x:c r="H11" s="9" t="str">
        <x:v>OpenStax Biology 2e, 2.2 Water</x:v>
      </x:c>
      <x:c r="I11" s="9" t="str">
        <x:v>https://openstax.org/books/biology-2e/pages/2-2-water</x:v>
      </x:c>
      <x:c r="J11" s="9" t="str">
        <x:v>Verified</x:v>
      </x:c>
    </x:row>
    <x:row r="12" ht="42" customHeight="1">
      <x:c r="A12" s="8" t="str">
        <x:v>A1.1-11</x:v>
      </x:c>
      <x:c r="B12" s="8" t="str">
        <x:v>A1.1</x:v>
      </x:c>
      <x:c r="C12" s="9" t="str">
        <x:v>Unity and diversity</x:v>
      </x:c>
      <x:c r="D12" s="9" t="str">
        <x:v>Water</x:v>
      </x:c>
      <x:c r="E12" s="9" t="str">
        <x:v>SL/HL</x:v>
      </x:c>
      <x:c r="F12" s="9" t="str">
        <x:v>Hydrophilic</x:v>
      </x:c>
      <x:c r="G12" s="9" t="str">
        <x:v>Describes a charged or polar substance that interacts readily with water.</x:v>
      </x:c>
      <x:c r="H12" s="9" t="str">
        <x:v>OpenStax Biology 2e, 2.2 Water</x:v>
      </x:c>
      <x:c r="I12" s="9" t="str">
        <x:v>https://openstax.org/books/biology-2e/pages/2-2-water</x:v>
      </x:c>
      <x:c r="J12" s="9" t="str">
        <x:v>Verified</x:v>
      </x:c>
    </x:row>
    <x:row r="13" ht="42" customHeight="1">
      <x:c r="A13" s="8" t="str">
        <x:v>A1.1-12</x:v>
      </x:c>
      <x:c r="B13" s="8" t="str">
        <x:v>A1.1</x:v>
      </x:c>
      <x:c r="C13" s="9" t="str">
        <x:v>Unity and diversity</x:v>
      </x:c>
      <x:c r="D13" s="9" t="str">
        <x:v>Water</x:v>
      </x:c>
      <x:c r="E13" s="9" t="str">
        <x:v>SL/HL</x:v>
      </x:c>
      <x:c r="F13" s="9" t="str">
        <x:v>Hydrophobic</x:v>
      </x:c>
      <x:c r="G13" s="9" t="str">
        <x:v>Describes a non-polar substance that does not interact favorably with water.</x:v>
      </x:c>
      <x:c r="H13" s="9" t="str">
        <x:v>OpenStax Biology 2e, 2.2 Water</x:v>
      </x:c>
      <x:c r="I13" s="9" t="str">
        <x:v>https://openstax.org/books/biology-2e/pages/2-2-water</x:v>
      </x:c>
      <x:c r="J13" s="9" t="str">
        <x:v>Verified</x:v>
      </x:c>
    </x:row>
    <x:row r="14" ht="42" customHeight="1">
      <x:c r="A14" s="8" t="str">
        <x:v>A1.1-13</x:v>
      </x:c>
      <x:c r="B14" s="8" t="str">
        <x:v>A1.1</x:v>
      </x:c>
      <x:c r="C14" s="9" t="str">
        <x:v>Unity and diversity</x:v>
      </x:c>
      <x:c r="D14" s="9" t="str">
        <x:v>Water</x:v>
      </x:c>
      <x:c r="E14" s="9" t="str">
        <x:v>SL/HL</x:v>
      </x:c>
      <x:c r="F14" s="9" t="str">
        <x:v>Specific heat capacity</x:v>
      </x:c>
      <x:c r="G14" s="9" t="str">
        <x:v>Energy required to raise the temperature of a unit mass of substance by one degree.</x:v>
      </x:c>
      <x:c r="H14" s="9" t="str">
        <x:v>OpenStax Biology 2e, 2.2 Water</x:v>
      </x:c>
      <x:c r="I14" s="9" t="str">
        <x:v>https://openstax.org/books/biology-2e/pages/2-2-water</x:v>
      </x:c>
      <x:c r="J14" s="9" t="str">
        <x:v>Verified</x:v>
      </x:c>
    </x:row>
    <x:row r="15" ht="42" customHeight="1">
      <x:c r="A15" s="8" t="str">
        <x:v>A1.1-14</x:v>
      </x:c>
      <x:c r="B15" s="8" t="str">
        <x:v>A1.1</x:v>
      </x:c>
      <x:c r="C15" s="9" t="str">
        <x:v>Unity and diversity</x:v>
      </x:c>
      <x:c r="D15" s="9" t="str">
        <x:v>Water</x:v>
      </x:c>
      <x:c r="E15" s="9" t="str">
        <x:v>SL/HL</x:v>
      </x:c>
      <x:c r="F15" s="9" t="str">
        <x:v>Latent heat of vaporization</x:v>
      </x:c>
      <x:c r="G15" s="9" t="str">
        <x:v>Energy required to convert a unit mass of liquid to gas without changing temperature.</x:v>
      </x:c>
      <x:c r="H15" s="9" t="str">
        <x:v>OpenStax Biology 2e, 2.2 Water</x:v>
      </x:c>
      <x:c r="I15" s="9" t="str">
        <x:v>https://openstax.org/books/biology-2e/pages/2-2-water</x:v>
      </x:c>
      <x:c r="J15" s="9" t="str">
        <x:v>Verified</x:v>
      </x:c>
    </x:row>
    <x:row r="16" ht="42" customHeight="1">
      <x:c r="A16" s="8" t="str">
        <x:v>A1.1-15</x:v>
      </x:c>
      <x:c r="B16" s="8" t="str">
        <x:v>A1.1</x:v>
      </x:c>
      <x:c r="C16" s="9" t="str">
        <x:v>Unity and diversity</x:v>
      </x:c>
      <x:c r="D16" s="9" t="str">
        <x:v>Water</x:v>
      </x:c>
      <x:c r="E16" s="9" t="str">
        <x:v>SL/HL</x:v>
      </x:c>
      <x:c r="F16" s="9" t="str">
        <x:v>Ice lattice</x:v>
      </x:c>
      <x:c r="G16" s="9" t="str">
        <x:v>An open hydrogen-bonded arrangement that makes solid water less dense than liquid water.</x:v>
      </x:c>
      <x:c r="H16" s="9" t="str">
        <x:v>OpenStax Biology 2e, 2.2 Water</x:v>
      </x:c>
      <x:c r="I16" s="9" t="str">
        <x:v>https://openstax.org/books/biology-2e/pages/2-2-water</x:v>
      </x:c>
      <x:c r="J16" s="9" t="str">
        <x:v>Verified</x:v>
      </x:c>
    </x:row>
    <x:row r="17" ht="42" customHeight="1">
      <x:c r="A17" s="8" t="str">
        <x:v>A1.2-01</x:v>
      </x:c>
      <x:c r="B17" s="8" t="str">
        <x:v>A1.2</x:v>
      </x:c>
      <x:c r="C17" s="9" t="str">
        <x:v>Unity and diversity</x:v>
      </x:c>
      <x:c r="D17" s="9" t="str">
        <x:v>Nucleic acids</x:v>
      </x:c>
      <x:c r="E17" s="9" t="str">
        <x:v>SL/HL</x:v>
      </x:c>
      <x:c r="F17" s="9" t="str">
        <x:v>Nucleotide</x:v>
      </x:c>
      <x:c r="G17" s="9" t="str">
        <x:v>A nucleic-acid monomer containing a pentose sugar, a phosphate group, and a nitrogenous base.</x:v>
      </x:c>
      <x:c r="H17" s="9" t="str">
        <x:v>OpenStax Biology 2e, 3.5 Nucleic Acids</x:v>
      </x:c>
      <x:c r="I17" s="9" t="str">
        <x:v>https://openstax.org/books/biology-2e/pages/3-5-nucleic-acids</x:v>
      </x:c>
      <x:c r="J17" s="9" t="str">
        <x:v>Verified</x:v>
      </x:c>
    </x:row>
    <x:row r="18" ht="42" customHeight="1">
      <x:c r="A18" s="8" t="str">
        <x:v>A1.2-02</x:v>
      </x:c>
      <x:c r="B18" s="8" t="str">
        <x:v>A1.2</x:v>
      </x:c>
      <x:c r="C18" s="9" t="str">
        <x:v>Unity and diversity</x:v>
      </x:c>
      <x:c r="D18" s="9" t="str">
        <x:v>Nucleic acids</x:v>
      </x:c>
      <x:c r="E18" s="9" t="str">
        <x:v>SL/HL</x:v>
      </x:c>
      <x:c r="F18" s="9" t="str">
        <x:v>Nucleoside</x:v>
      </x:c>
      <x:c r="G18" s="9" t="str">
        <x:v>A nitrogenous base joined to a pentose sugar, with no phosphate group attached.</x:v>
      </x:c>
      <x:c r="H18" s="9" t="str">
        <x:v>OpenStax Biology 2e, 3.5 Nucleic Acids</x:v>
      </x:c>
      <x:c r="I18" s="9" t="str">
        <x:v>https://openstax.org/books/biology-2e/pages/3-5-nucleic-acids</x:v>
      </x:c>
      <x:c r="J18" s="9" t="str">
        <x:v>Verified</x:v>
      </x:c>
    </x:row>
    <x:row r="19" ht="42" customHeight="1">
      <x:c r="A19" s="8" t="str">
        <x:v>A1.2-03</x:v>
      </x:c>
      <x:c r="B19" s="8" t="str">
        <x:v>A1.2</x:v>
      </x:c>
      <x:c r="C19" s="9" t="str">
        <x:v>Unity and diversity</x:v>
      </x:c>
      <x:c r="D19" s="9" t="str">
        <x:v>Nucleic acids</x:v>
      </x:c>
      <x:c r="E19" s="9" t="str">
        <x:v>SL/HL</x:v>
      </x:c>
      <x:c r="F19" s="9" t="str">
        <x:v>Deoxyribose</x:v>
      </x:c>
      <x:c r="G19" s="9" t="str">
        <x:v>The five-carbon sugar in DNA, lacking an oxygen atom at its 2′ carbon.</x:v>
      </x:c>
      <x:c r="H19" s="9" t="str">
        <x:v>OpenStax Biology 2e, 3.5 Nucleic Acids</x:v>
      </x:c>
      <x:c r="I19" s="9" t="str">
        <x:v>https://openstax.org/books/biology-2e/pages/3-5-nucleic-acids</x:v>
      </x:c>
      <x:c r="J19" s="9" t="str">
        <x:v>Verified</x:v>
      </x:c>
    </x:row>
    <x:row r="20" ht="42" customHeight="1">
      <x:c r="A20" s="8" t="str">
        <x:v>A1.2-04</x:v>
      </x:c>
      <x:c r="B20" s="8" t="str">
        <x:v>A1.2</x:v>
      </x:c>
      <x:c r="C20" s="9" t="str">
        <x:v>Unity and diversity</x:v>
      </x:c>
      <x:c r="D20" s="9" t="str">
        <x:v>Nucleic acids</x:v>
      </x:c>
      <x:c r="E20" s="9" t="str">
        <x:v>SL/HL</x:v>
      </x:c>
      <x:c r="F20" s="9" t="str">
        <x:v>Ribose</x:v>
      </x:c>
      <x:c r="G20" s="9" t="str">
        <x:v>The five-carbon sugar in RNA, with hydroxyl groups at both the 2′ and 3′ carbons.</x:v>
      </x:c>
      <x:c r="H20" s="9" t="str">
        <x:v>OpenStax Biology 2e, 3.5 Nucleic Acids</x:v>
      </x:c>
      <x:c r="I20" s="9" t="str">
        <x:v>https://openstax.org/books/biology-2e/pages/3-5-nucleic-acids</x:v>
      </x:c>
      <x:c r="J20" s="9" t="str">
        <x:v>Verified</x:v>
      </x:c>
    </x:row>
    <x:row r="21" ht="42" customHeight="1">
      <x:c r="A21" s="8" t="str">
        <x:v>A1.2-05</x:v>
      </x:c>
      <x:c r="B21" s="8" t="str">
        <x:v>A1.2</x:v>
      </x:c>
      <x:c r="C21" s="9" t="str">
        <x:v>Unity and diversity</x:v>
      </x:c>
      <x:c r="D21" s="9" t="str">
        <x:v>Nucleic acids</x:v>
      </x:c>
      <x:c r="E21" s="9" t="str">
        <x:v>SL/HL</x:v>
      </x:c>
      <x:c r="F21" s="9" t="str">
        <x:v>Purine</x:v>
      </x:c>
      <x:c r="G21" s="9" t="str">
        <x:v>A double-ring nitrogenous base; adenine and guanine belong to this class.</x:v>
      </x:c>
      <x:c r="H21" s="9" t="str">
        <x:v>OpenStax Biology 2e, 3.5 Nucleic Acids</x:v>
      </x:c>
      <x:c r="I21" s="9" t="str">
        <x:v>https://openstax.org/books/biology-2e/pages/3-5-nucleic-acids</x:v>
      </x:c>
      <x:c r="J21" s="9" t="str">
        <x:v>Verified</x:v>
      </x:c>
    </x:row>
    <x:row r="22" ht="42" customHeight="1">
      <x:c r="A22" s="8" t="str">
        <x:v>A1.2-06</x:v>
      </x:c>
      <x:c r="B22" s="8" t="str">
        <x:v>A1.2</x:v>
      </x:c>
      <x:c r="C22" s="9" t="str">
        <x:v>Unity and diversity</x:v>
      </x:c>
      <x:c r="D22" s="9" t="str">
        <x:v>Nucleic acids</x:v>
      </x:c>
      <x:c r="E22" s="9" t="str">
        <x:v>SL/HL</x:v>
      </x:c>
      <x:c r="F22" s="9" t="str">
        <x:v>Pyrimidine</x:v>
      </x:c>
      <x:c r="G22" s="9" t="str">
        <x:v>A single-ring nitrogenous base; cytosine, thymine, and uracil belong to this class.</x:v>
      </x:c>
      <x:c r="H22" s="9" t="str">
        <x:v>OpenStax Biology 2e, 3.5 Nucleic Acids</x:v>
      </x:c>
      <x:c r="I22" s="9" t="str">
        <x:v>https://openstax.org/books/biology-2e/pages/3-5-nucleic-acids</x:v>
      </x:c>
      <x:c r="J22" s="9" t="str">
        <x:v>Verified</x:v>
      </x:c>
    </x:row>
    <x:row r="23" ht="42" customHeight="1">
      <x:c r="A23" s="8" t="str">
        <x:v>A1.2-07</x:v>
      </x:c>
      <x:c r="B23" s="8" t="str">
        <x:v>A1.2</x:v>
      </x:c>
      <x:c r="C23" s="9" t="str">
        <x:v>Unity and diversity</x:v>
      </x:c>
      <x:c r="D23" s="9" t="str">
        <x:v>Nucleic acids</x:v>
      </x:c>
      <x:c r="E23" s="9" t="str">
        <x:v>SL/HL</x:v>
      </x:c>
      <x:c r="F23" s="9" t="str">
        <x:v>Phosphodiester bond</x:v>
      </x:c>
      <x:c r="G23" s="9" t="str">
        <x:v>A covalent link joining the phosphate of one nucleotide to sugars in adjacent nucleotides.</x:v>
      </x:c>
      <x:c r="H23" s="9" t="str">
        <x:v>OpenStax Biology 2e, 3.5 Nucleic Acids</x:v>
      </x:c>
      <x:c r="I23" s="9" t="str">
        <x:v>https://openstax.org/books/biology-2e/pages/3-5-nucleic-acids</x:v>
      </x:c>
      <x:c r="J23" s="9" t="str">
        <x:v>Verified</x:v>
      </x:c>
    </x:row>
    <x:row r="24" ht="42" customHeight="1">
      <x:c r="A24" s="8" t="str">
        <x:v>A1.2-08</x:v>
      </x:c>
      <x:c r="B24" s="8" t="str">
        <x:v>A1.2</x:v>
      </x:c>
      <x:c r="C24" s="9" t="str">
        <x:v>Unity and diversity</x:v>
      </x:c>
      <x:c r="D24" s="9" t="str">
        <x:v>Nucleic acids</x:v>
      </x:c>
      <x:c r="E24" s="9" t="str">
        <x:v>SL/HL</x:v>
      </x:c>
      <x:c r="F24" s="9" t="str">
        <x:v>Sugar–phosphate backbone</x:v>
      </x:c>
      <x:c r="G24" s="9" t="str">
        <x:v>The alternating covalently bonded sugars and phosphates forming the structural framework of a nucleic-acid strand.</x:v>
      </x:c>
      <x:c r="H24" s="9" t="str">
        <x:v>OpenStax Biology 2e, 3.5 Nucleic Acids</x:v>
      </x:c>
      <x:c r="I24" s="9" t="str">
        <x:v>https://openstax.org/books/biology-2e/pages/3-5-nucleic-acids</x:v>
      </x:c>
      <x:c r="J24" s="9" t="str">
        <x:v>Verified</x:v>
      </x:c>
    </x:row>
    <x:row r="25" ht="42" customHeight="1">
      <x:c r="A25" s="8" t="str">
        <x:v>A1.2-09</x:v>
      </x:c>
      <x:c r="B25" s="8" t="str">
        <x:v>A1.2</x:v>
      </x:c>
      <x:c r="C25" s="9" t="str">
        <x:v>Unity and diversity</x:v>
      </x:c>
      <x:c r="D25" s="9" t="str">
        <x:v>Nucleic acids</x:v>
      </x:c>
      <x:c r="E25" s="9" t="str">
        <x:v>SL/HL</x:v>
      </x:c>
      <x:c r="F25" s="9" t="str">
        <x:v>Antiparallel strands</x:v>
      </x:c>
      <x:c r="G25" s="9" t="str">
        <x:v>Two nucleic-acid strands aligned in opposite 5′-to-3′ directions.</x:v>
      </x:c>
      <x:c r="H25" s="9" t="str">
        <x:v>OpenStax Biology 2e, 3.5 Nucleic Acids</x:v>
      </x:c>
      <x:c r="I25" s="9" t="str">
        <x:v>https://openstax.org/books/biology-2e/pages/3-5-nucleic-acids</x:v>
      </x:c>
      <x:c r="J25" s="9" t="str">
        <x:v>Verified</x:v>
      </x:c>
    </x:row>
    <x:row r="26" ht="42" customHeight="1">
      <x:c r="A26" s="8" t="str">
        <x:v>A1.2-10</x:v>
      </x:c>
      <x:c r="B26" s="8" t="str">
        <x:v>A1.2</x:v>
      </x:c>
      <x:c r="C26" s="9" t="str">
        <x:v>Unity and diversity</x:v>
      </x:c>
      <x:c r="D26" s="9" t="str">
        <x:v>Nucleic acids</x:v>
      </x:c>
      <x:c r="E26" s="9" t="str">
        <x:v>SL/HL</x:v>
      </x:c>
      <x:c r="F26" s="9" t="str">
        <x:v>Complementary base pairing</x:v>
      </x:c>
      <x:c r="G26" s="9" t="str">
        <x:v>Specific hydrogen bonding of adenine with thymine or uracil, and guanine with cytosine.</x:v>
      </x:c>
      <x:c r="H26" s="9" t="str">
        <x:v>OpenStax Biology 2e, 3.5 Nucleic Acids</x:v>
      </x:c>
      <x:c r="I26" s="9" t="str">
        <x:v>https://openstax.org/books/biology-2e/pages/3-5-nucleic-acids</x:v>
      </x:c>
      <x:c r="J26" s="9" t="str">
        <x:v>Verified</x:v>
      </x:c>
    </x:row>
    <x:row r="27" ht="42" customHeight="1">
      <x:c r="A27" s="8" t="str">
        <x:v>A1.2-11</x:v>
      </x:c>
      <x:c r="B27" s="8" t="str">
        <x:v>A1.2</x:v>
      </x:c>
      <x:c r="C27" s="9" t="str">
        <x:v>Unity and diversity</x:v>
      </x:c>
      <x:c r="D27" s="9" t="str">
        <x:v>Nucleic acids</x:v>
      </x:c>
      <x:c r="E27" s="9" t="str">
        <x:v>SL/HL</x:v>
      </x:c>
      <x:c r="F27" s="9" t="str">
        <x:v>DNA double helix</x:v>
      </x:c>
      <x:c r="G27" s="9" t="str">
        <x:v>Two antiparallel polynucleotide strands wound around a common axis and held together by base pairing.</x:v>
      </x:c>
      <x:c r="H27" s="9" t="str">
        <x:v>OpenStax Biology 2e, 3.5 Nucleic Acids</x:v>
      </x:c>
      <x:c r="I27" s="9" t="str">
        <x:v>https://openstax.org/books/biology-2e/pages/3-5-nucleic-acids</x:v>
      </x:c>
      <x:c r="J27" s="9" t="str">
        <x:v>Verified</x:v>
      </x:c>
    </x:row>
    <x:row r="28" ht="42" customHeight="1">
      <x:c r="A28" s="8" t="str">
        <x:v>A1.2-12</x:v>
      </x:c>
      <x:c r="B28" s="8" t="str">
        <x:v>A1.2</x:v>
      </x:c>
      <x:c r="C28" s="9" t="str">
        <x:v>Unity and diversity</x:v>
      </x:c>
      <x:c r="D28" s="9" t="str">
        <x:v>Nucleic acids</x:v>
      </x:c>
      <x:c r="E28" s="9" t="str">
        <x:v>SL/HL</x:v>
      </x:c>
      <x:c r="F28" s="9" t="str">
        <x:v>DNA</x:v>
      </x:c>
      <x:c r="G28" s="9" t="str">
        <x:v>A usually double-stranded nucleic acid that stores hereditary information in its base sequence.</x:v>
      </x:c>
      <x:c r="H28" s="9" t="str">
        <x:v>OpenStax Biology 2e, 3.5 Nucleic Acids</x:v>
      </x:c>
      <x:c r="I28" s="9" t="str">
        <x:v>https://openstax.org/books/biology-2e/pages/3-5-nucleic-acids</x:v>
      </x:c>
      <x:c r="J28" s="9" t="str">
        <x:v>Verified</x:v>
      </x:c>
    </x:row>
    <x:row r="29" ht="42" customHeight="1">
      <x:c r="A29" s="8" t="str">
        <x:v>A1.2-13</x:v>
      </x:c>
      <x:c r="B29" s="8" t="str">
        <x:v>A1.2</x:v>
      </x:c>
      <x:c r="C29" s="9" t="str">
        <x:v>Unity and diversity</x:v>
      </x:c>
      <x:c r="D29" s="9" t="str">
        <x:v>Nucleic acids</x:v>
      </x:c>
      <x:c r="E29" s="9" t="str">
        <x:v>SL/HL</x:v>
      </x:c>
      <x:c r="F29" s="9" t="str">
        <x:v>RNA</x:v>
      </x:c>
      <x:c r="G29" s="9" t="str">
        <x:v>A usually single-stranded nucleic acid used in gene expression and some catalytic or regulatory roles.</x:v>
      </x:c>
      <x:c r="H29" s="9" t="str">
        <x:v>OpenStax Biology 2e, 3.5 Nucleic Acids</x:v>
      </x:c>
      <x:c r="I29" s="9" t="str">
        <x:v>https://openstax.org/books/biology-2e/pages/3-5-nucleic-acids</x:v>
      </x:c>
      <x:c r="J29" s="9" t="str">
        <x:v>Verified</x:v>
      </x:c>
    </x:row>
    <x:row r="30" ht="42" customHeight="1">
      <x:c r="A30" s="8" t="str">
        <x:v>A1.2-14</x:v>
      </x:c>
      <x:c r="B30" s="8" t="str">
        <x:v>A1.2</x:v>
      </x:c>
      <x:c r="C30" s="9" t="str">
        <x:v>Unity and diversity</x:v>
      </x:c>
      <x:c r="D30" s="9" t="str">
        <x:v>Nucleic acids</x:v>
      </x:c>
      <x:c r="E30" s="9" t="str">
        <x:v>SL/HL</x:v>
      </x:c>
      <x:c r="F30" s="9" t="str">
        <x:v>5′ end</x:v>
      </x:c>
      <x:c r="G30" s="9" t="str">
        <x:v>The end of a nucleic-acid strand bearing a phosphate associated with the sugar’s 5′ carbon.</x:v>
      </x:c>
      <x:c r="H30" s="9" t="str">
        <x:v>OpenStax Biology 2e, 3.5 Nucleic Acids</x:v>
      </x:c>
      <x:c r="I30" s="9" t="str">
        <x:v>https://openstax.org/books/biology-2e/pages/3-5-nucleic-acids</x:v>
      </x:c>
      <x:c r="J30" s="9" t="str">
        <x:v>Verified</x:v>
      </x:c>
    </x:row>
    <x:row r="31" ht="42" customHeight="1">
      <x:c r="A31" s="8" t="str">
        <x:v>A1.2-15</x:v>
      </x:c>
      <x:c r="B31" s="8" t="str">
        <x:v>A1.2</x:v>
      </x:c>
      <x:c r="C31" s="9" t="str">
        <x:v>Unity and diversity</x:v>
      </x:c>
      <x:c r="D31" s="9" t="str">
        <x:v>Nucleic acids</x:v>
      </x:c>
      <x:c r="E31" s="9" t="str">
        <x:v>SL/HL</x:v>
      </x:c>
      <x:c r="F31" s="9" t="str">
        <x:v>3′ end</x:v>
      </x:c>
      <x:c r="G31" s="9" t="str">
        <x:v>The end of a nucleic-acid strand bearing a free hydroxyl group on the sugar’s 3′ carbon.</x:v>
      </x:c>
      <x:c r="H31" s="9" t="str">
        <x:v>OpenStax Biology 2e, 3.5 Nucleic Acids</x:v>
      </x:c>
      <x:c r="I31" s="9" t="str">
        <x:v>https://openstax.org/books/biology-2e/pages/3-5-nucleic-acids</x:v>
      </x:c>
      <x:c r="J31" s="9" t="str">
        <x:v>Verified</x:v>
      </x:c>
    </x:row>
    <x:row r="32" ht="42" customHeight="1">
      <x:c r="A32" s="8" t="str">
        <x:v>A2.1-01</x:v>
      </x:c>
      <x:c r="B32" s="8" t="str">
        <x:v>A2.1</x:v>
      </x:c>
      <x:c r="C32" s="9" t="str">
        <x:v>Unity and diversity</x:v>
      </x:c>
      <x:c r="D32" s="9" t="str">
        <x:v>Origins of cells</x:v>
      </x:c>
      <x:c r="E32" s="9" t="str">
        <x:v>HL</x:v>
      </x:c>
      <x:c r="F32" s="9" t="str">
        <x:v>Abiogenesis</x:v>
      </x:c>
      <x:c r="G32" s="9" t="str">
        <x:v>The natural emergence of living systems from non-living chemical components on early Earth.</x:v>
      </x:c>
      <x:c r="H32" s="9" t="str">
        <x:v>NASA Astrobiology Primer</x:v>
      </x:c>
      <x:c r="I32" s="9" t="str">
        <x:v>https://astrobiology.nasa.gov/education/primer/</x:v>
      </x:c>
      <x:c r="J32" s="9" t="str">
        <x:v>Verified</x:v>
      </x:c>
    </x:row>
    <x:row r="33" ht="42" customHeight="1">
      <x:c r="A33" s="8" t="str">
        <x:v>A2.1-02</x:v>
      </x:c>
      <x:c r="B33" s="8" t="str">
        <x:v>A2.1</x:v>
      </x:c>
      <x:c r="C33" s="9" t="str">
        <x:v>Unity and diversity</x:v>
      </x:c>
      <x:c r="D33" s="9" t="str">
        <x:v>Origins of cells</x:v>
      </x:c>
      <x:c r="E33" s="9" t="str">
        <x:v>HL</x:v>
      </x:c>
      <x:c r="F33" s="9" t="str">
        <x:v>Prebiotic chemistry</x:v>
      </x:c>
      <x:c r="G33" s="9" t="str">
        <x:v>Chemical processes before life that could produce and organize biologically useful molecules.</x:v>
      </x:c>
      <x:c r="H33" s="9" t="str">
        <x:v>NASA Astrobiology Primer</x:v>
      </x:c>
      <x:c r="I33" s="9" t="str">
        <x:v>https://astrobiology.nasa.gov/education/primer/</x:v>
      </x:c>
      <x:c r="J33" s="9" t="str">
        <x:v>Verified</x:v>
      </x:c>
    </x:row>
    <x:row r="34" ht="42" customHeight="1">
      <x:c r="A34" s="8" t="str">
        <x:v>A2.1-03</x:v>
      </x:c>
      <x:c r="B34" s="8" t="str">
        <x:v>A2.1</x:v>
      </x:c>
      <x:c r="C34" s="9" t="str">
        <x:v>Unity and diversity</x:v>
      </x:c>
      <x:c r="D34" s="9" t="str">
        <x:v>Origins of cells</x:v>
      </x:c>
      <x:c r="E34" s="9" t="str">
        <x:v>HL</x:v>
      </x:c>
      <x:c r="F34" s="9" t="str">
        <x:v>Spontaneous generation</x:v>
      </x:c>
      <x:c r="G34" s="9" t="str">
        <x:v>The disproven claim that complex living organisms routinely arise from non-living matter.</x:v>
      </x:c>
      <x:c r="H34" s="9" t="str">
        <x:v>NASA Astrobiology Primer</x:v>
      </x:c>
      <x:c r="I34" s="9" t="str">
        <x:v>https://astrobiology.nasa.gov/education/primer/</x:v>
      </x:c>
      <x:c r="J34" s="9" t="str">
        <x:v>Verified</x:v>
      </x:c>
    </x:row>
    <x:row r="35" ht="42" customHeight="1">
      <x:c r="A35" s="8" t="str">
        <x:v>A2.1-04</x:v>
      </x:c>
      <x:c r="B35" s="8" t="str">
        <x:v>A2.1</x:v>
      </x:c>
      <x:c r="C35" s="9" t="str">
        <x:v>Unity and diversity</x:v>
      </x:c>
      <x:c r="D35" s="9" t="str">
        <x:v>Origins of cells</x:v>
      </x:c>
      <x:c r="E35" s="9" t="str">
        <x:v>HL</x:v>
      </x:c>
      <x:c r="F35" s="9" t="str">
        <x:v>Biogenesis</x:v>
      </x:c>
      <x:c r="G35" s="9" t="str">
        <x:v>The principle that new living organisms arise from pre-existing living organisms.</x:v>
      </x:c>
      <x:c r="H35" s="9" t="str">
        <x:v>NASA Astrobiology Primer</x:v>
      </x:c>
      <x:c r="I35" s="9" t="str">
        <x:v>https://astrobiology.nasa.gov/education/primer/</x:v>
      </x:c>
      <x:c r="J35" s="9" t="str">
        <x:v>Verified</x:v>
      </x:c>
    </x:row>
    <x:row r="36" ht="42" customHeight="1">
      <x:c r="A36" s="8" t="str">
        <x:v>A2.1-05</x:v>
      </x:c>
      <x:c r="B36" s="8" t="str">
        <x:v>A2.1</x:v>
      </x:c>
      <x:c r="C36" s="9" t="str">
        <x:v>Unity and diversity</x:v>
      </x:c>
      <x:c r="D36" s="9" t="str">
        <x:v>Origins of cells</x:v>
      </x:c>
      <x:c r="E36" s="9" t="str">
        <x:v>HL</x:v>
      </x:c>
      <x:c r="F36" s="9" t="str">
        <x:v>Miller–Urey experiment</x:v>
      </x:c>
      <x:c r="G36" s="9" t="str">
        <x:v>A simulation of proposed early-Earth conditions that produced amino acids from simple gases and energy.</x:v>
      </x:c>
      <x:c r="H36" s="9" t="str">
        <x:v>NASA Astrobiology Primer</x:v>
      </x:c>
      <x:c r="I36" s="9" t="str">
        <x:v>https://astrobiology.nasa.gov/education/primer/</x:v>
      </x:c>
      <x:c r="J36" s="9" t="str">
        <x:v>Verified</x:v>
      </x:c>
    </x:row>
    <x:row r="37" ht="42" customHeight="1">
      <x:c r="A37" s="8" t="str">
        <x:v>A2.1-06</x:v>
      </x:c>
      <x:c r="B37" s="8" t="str">
        <x:v>A2.1</x:v>
      </x:c>
      <x:c r="C37" s="9" t="str">
        <x:v>Unity and diversity</x:v>
      </x:c>
      <x:c r="D37" s="9" t="str">
        <x:v>Origins of cells</x:v>
      </x:c>
      <x:c r="E37" s="9" t="str">
        <x:v>HL</x:v>
      </x:c>
      <x:c r="F37" s="9" t="str">
        <x:v>Protocell</x:v>
      </x:c>
      <x:c r="G37" s="9" t="str">
        <x:v>A non-living, membrane-bounded chemical system with some properties associated with cells.</x:v>
      </x:c>
      <x:c r="H37" s="9" t="str">
        <x:v>NASA Astrobiology Primer</x:v>
      </x:c>
      <x:c r="I37" s="9" t="str">
        <x:v>https://astrobiology.nasa.gov/education/primer/</x:v>
      </x:c>
      <x:c r="J37" s="9" t="str">
        <x:v>Verified</x:v>
      </x:c>
    </x:row>
    <x:row r="38" ht="42" customHeight="1">
      <x:c r="A38" s="8" t="str">
        <x:v>A2.1-07</x:v>
      </x:c>
      <x:c r="B38" s="8" t="str">
        <x:v>A2.1</x:v>
      </x:c>
      <x:c r="C38" s="9" t="str">
        <x:v>Unity and diversity</x:v>
      </x:c>
      <x:c r="D38" s="9" t="str">
        <x:v>Origins of cells</x:v>
      </x:c>
      <x:c r="E38" s="9" t="str">
        <x:v>HL</x:v>
      </x:c>
      <x:c r="F38" s="9" t="str">
        <x:v>Lipid vesicle</x:v>
      </x:c>
      <x:c r="G38" s="9" t="str">
        <x:v>A closed, water-filled compartment enclosed by a self-assembled lipid bilayer.</x:v>
      </x:c>
      <x:c r="H38" s="9" t="str">
        <x:v>NASA Astrobiology Primer</x:v>
      </x:c>
      <x:c r="I38" s="9" t="str">
        <x:v>https://astrobiology.nasa.gov/education/primer/</x:v>
      </x:c>
      <x:c r="J38" s="9" t="str">
        <x:v>Verified</x:v>
      </x:c>
    </x:row>
    <x:row r="39" ht="42" customHeight="1">
      <x:c r="A39" s="8" t="str">
        <x:v>A2.1-08</x:v>
      </x:c>
      <x:c r="B39" s="8" t="str">
        <x:v>A2.1</x:v>
      </x:c>
      <x:c r="C39" s="9" t="str">
        <x:v>Unity and diversity</x:v>
      </x:c>
      <x:c r="D39" s="9" t="str">
        <x:v>Origins of cells</x:v>
      </x:c>
      <x:c r="E39" s="9" t="str">
        <x:v>HL</x:v>
      </x:c>
      <x:c r="F39" s="9" t="str">
        <x:v>Self-replication</x:v>
      </x:c>
      <x:c r="G39" s="9" t="str">
        <x:v>Production of a copy by using the original structure or sequence as a template.</x:v>
      </x:c>
      <x:c r="H39" s="9" t="str">
        <x:v>NASA Astrobiology Primer</x:v>
      </x:c>
      <x:c r="I39" s="9" t="str">
        <x:v>https://astrobiology.nasa.gov/education/primer/</x:v>
      </x:c>
      <x:c r="J39" s="9" t="str">
        <x:v>Verified</x:v>
      </x:c>
    </x:row>
    <x:row r="40" ht="42" customHeight="1">
      <x:c r="A40" s="8" t="str">
        <x:v>A2.1-09</x:v>
      </x:c>
      <x:c r="B40" s="8" t="str">
        <x:v>A2.1</x:v>
      </x:c>
      <x:c r="C40" s="9" t="str">
        <x:v>Unity and diversity</x:v>
      </x:c>
      <x:c r="D40" s="9" t="str">
        <x:v>Origins of cells</x:v>
      </x:c>
      <x:c r="E40" s="9" t="str">
        <x:v>HL</x:v>
      </x:c>
      <x:c r="F40" s="9" t="str">
        <x:v>Autocatalysis</x:v>
      </x:c>
      <x:c r="G40" s="9" t="str">
        <x:v>A reaction in which a product increases the rate of its own formation.</x:v>
      </x:c>
      <x:c r="H40" s="9" t="str">
        <x:v>NASA Astrobiology Primer</x:v>
      </x:c>
      <x:c r="I40" s="9" t="str">
        <x:v>https://astrobiology.nasa.gov/education/primer/</x:v>
      </x:c>
      <x:c r="J40" s="9" t="str">
        <x:v>Verified</x:v>
      </x:c>
    </x:row>
    <x:row r="41" ht="42" customHeight="1">
      <x:c r="A41" s="8" t="str">
        <x:v>A2.1-10</x:v>
      </x:c>
      <x:c r="B41" s="8" t="str">
        <x:v>A2.1</x:v>
      </x:c>
      <x:c r="C41" s="9" t="str">
        <x:v>Unity and diversity</x:v>
      </x:c>
      <x:c r="D41" s="9" t="str">
        <x:v>Origins of cells</x:v>
      </x:c>
      <x:c r="E41" s="9" t="str">
        <x:v>HL</x:v>
      </x:c>
      <x:c r="F41" s="9" t="str">
        <x:v>RNA world hypothesis</x:v>
      </x:c>
      <x:c r="G41" s="9" t="str">
        <x:v>The proposal that early life used RNA for both information storage and chemical catalysis.</x:v>
      </x:c>
      <x:c r="H41" s="9" t="str">
        <x:v>NASA Astrobiology Primer</x:v>
      </x:c>
      <x:c r="I41" s="9" t="str">
        <x:v>https://astrobiology.nasa.gov/education/primer/</x:v>
      </x:c>
      <x:c r="J41" s="9" t="str">
        <x:v>Verified</x:v>
      </x:c>
    </x:row>
    <x:row r="42" ht="42" customHeight="1">
      <x:c r="A42" s="8" t="str">
        <x:v>A2.1-11</x:v>
      </x:c>
      <x:c r="B42" s="8" t="str">
        <x:v>A2.1</x:v>
      </x:c>
      <x:c r="C42" s="9" t="str">
        <x:v>Unity and diversity</x:v>
      </x:c>
      <x:c r="D42" s="9" t="str">
        <x:v>Origins of cells</x:v>
      </x:c>
      <x:c r="E42" s="9" t="str">
        <x:v>HL</x:v>
      </x:c>
      <x:c r="F42" s="9" t="str">
        <x:v>Ribozyme</x:v>
      </x:c>
      <x:c r="G42" s="9" t="str">
        <x:v>An RNA molecule that catalyzes a chemical reaction.</x:v>
      </x:c>
      <x:c r="H42" s="9" t="str">
        <x:v>NASA Astrobiology Primer</x:v>
      </x:c>
      <x:c r="I42" s="9" t="str">
        <x:v>https://astrobiology.nasa.gov/education/primer/</x:v>
      </x:c>
      <x:c r="J42" s="9" t="str">
        <x:v>Verified</x:v>
      </x:c>
    </x:row>
    <x:row r="43" ht="42" customHeight="1">
      <x:c r="A43" s="8" t="str">
        <x:v>A2.1-12</x:v>
      </x:c>
      <x:c r="B43" s="8" t="str">
        <x:v>A2.1</x:v>
      </x:c>
      <x:c r="C43" s="9" t="str">
        <x:v>Unity and diversity</x:v>
      </x:c>
      <x:c r="D43" s="9" t="str">
        <x:v>Origins of cells</x:v>
      </x:c>
      <x:c r="E43" s="9" t="str">
        <x:v>HL</x:v>
      </x:c>
      <x:c r="F43" s="9" t="str">
        <x:v>Last universal common ancestor (LUCA)</x:v>
      </x:c>
      <x:c r="G43" s="9" t="str">
        <x:v>The ancestral population from which all currently living organisms ultimately descend.</x:v>
      </x:c>
      <x:c r="H43" s="9" t="str">
        <x:v>NASA Astrobiology Primer</x:v>
      </x:c>
      <x:c r="I43" s="9" t="str">
        <x:v>https://astrobiology.nasa.gov/education/primer/</x:v>
      </x:c>
      <x:c r="J43" s="9" t="str">
        <x:v>Verified</x:v>
      </x:c>
    </x:row>
    <x:row r="44" ht="42" customHeight="1">
      <x:c r="A44" s="8" t="str">
        <x:v>A2.1-13</x:v>
      </x:c>
      <x:c r="B44" s="8" t="str">
        <x:v>A2.1</x:v>
      </x:c>
      <x:c r="C44" s="9" t="str">
        <x:v>Unity and diversity</x:v>
      </x:c>
      <x:c r="D44" s="9" t="str">
        <x:v>Origins of cells</x:v>
      </x:c>
      <x:c r="E44" s="9" t="str">
        <x:v>HL</x:v>
      </x:c>
      <x:c r="F44" s="9" t="str">
        <x:v>Hydrothermal vent hypothesis</x:v>
      </x:c>
      <x:c r="G44" s="9" t="str">
        <x:v>The proposal that mineral-rich seafloor vents supplied gradients and surfaces that promoted life’s origin.</x:v>
      </x:c>
      <x:c r="H44" s="9" t="str">
        <x:v>NASA Astrobiology Primer</x:v>
      </x:c>
      <x:c r="I44" s="9" t="str">
        <x:v>https://astrobiology.nasa.gov/education/primer/</x:v>
      </x:c>
      <x:c r="J44" s="9" t="str">
        <x:v>Verified</x:v>
      </x:c>
    </x:row>
    <x:row r="45" ht="42" customHeight="1">
      <x:c r="A45" s="8" t="str">
        <x:v>A2.1-14</x:v>
      </x:c>
      <x:c r="B45" s="8" t="str">
        <x:v>A2.1</x:v>
      </x:c>
      <x:c r="C45" s="9" t="str">
        <x:v>Unity and diversity</x:v>
      </x:c>
      <x:c r="D45" s="9" t="str">
        <x:v>Origins of cells</x:v>
      </x:c>
      <x:c r="E45" s="9" t="str">
        <x:v>HL</x:v>
      </x:c>
      <x:c r="F45" s="9" t="str">
        <x:v>Reducing environment</x:v>
      </x:c>
      <x:c r="G45" s="9" t="str">
        <x:v>A chemical setting that favors electron gain and contains little free molecular oxygen.</x:v>
      </x:c>
      <x:c r="H45" s="9" t="str">
        <x:v>NASA Astrobiology Primer</x:v>
      </x:c>
      <x:c r="I45" s="9" t="str">
        <x:v>https://astrobiology.nasa.gov/education/primer/</x:v>
      </x:c>
      <x:c r="J45" s="9" t="str">
        <x:v>Verified</x:v>
      </x:c>
    </x:row>
    <x:row r="46" ht="42" customHeight="1">
      <x:c r="A46" s="8" t="str">
        <x:v>A2.1-15</x:v>
      </x:c>
      <x:c r="B46" s="8" t="str">
        <x:v>A2.1</x:v>
      </x:c>
      <x:c r="C46" s="9" t="str">
        <x:v>Unity and diversity</x:v>
      </x:c>
      <x:c r="D46" s="9" t="str">
        <x:v>Origins of cells</x:v>
      </x:c>
      <x:c r="E46" s="9" t="str">
        <x:v>HL</x:v>
      </x:c>
      <x:c r="F46" s="9" t="str">
        <x:v>Endosymbiotic theory</x:v>
      </x:c>
      <x:c r="G46" s="9" t="str">
        <x:v>The explanation that mitochondria and chloroplasts evolved from bacteria engulfed by an ancestral host cell.</x:v>
      </x:c>
      <x:c r="H46" s="9" t="str">
        <x:v>NASA Astrobiology Primer</x:v>
      </x:c>
      <x:c r="I46" s="9" t="str">
        <x:v>https://astrobiology.nasa.gov/education/primer/</x:v>
      </x:c>
      <x:c r="J46" s="9" t="str">
        <x:v>Verified</x:v>
      </x:c>
    </x:row>
    <x:row r="47" ht="42" customHeight="1">
      <x:c r="A47" s="8" t="str">
        <x:v>A2.2-01</x:v>
      </x:c>
      <x:c r="B47" s="8" t="str">
        <x:v>A2.2</x:v>
      </x:c>
      <x:c r="C47" s="9" t="str">
        <x:v>Unity and diversity</x:v>
      </x:c>
      <x:c r="D47" s="9" t="str">
        <x:v>Cell structure</x:v>
      </x:c>
      <x:c r="E47" s="9" t="str">
        <x:v>SL/HL</x:v>
      </x:c>
      <x:c r="F47" s="9" t="str">
        <x:v>Cell theory</x:v>
      </x:c>
      <x:c r="G47" s="9" t="str">
        <x:v>The principles that organisms consist of cells, cells are life’s basic units, and cells arise from existing cells.</x:v>
      </x:c>
      <x:c r="H47" s="9" t="str">
        <x:v>OpenStax Biology 2e, 4.1–4.3 Studying Cells</x:v>
      </x:c>
      <x:c r="I47" s="9" t="str">
        <x:v>https://openstax.org/books/biology-2e/pages/4-introduction</x:v>
      </x:c>
      <x:c r="J47" s="9" t="str">
        <x:v>Verified</x:v>
      </x:c>
    </x:row>
    <x:row r="48" ht="42" customHeight="1">
      <x:c r="A48" s="8" t="str">
        <x:v>A2.2-02</x:v>
      </x:c>
      <x:c r="B48" s="8" t="str">
        <x:v>A2.2</x:v>
      </x:c>
      <x:c r="C48" s="9" t="str">
        <x:v>Unity and diversity</x:v>
      </x:c>
      <x:c r="D48" s="9" t="str">
        <x:v>Cell structure</x:v>
      </x:c>
      <x:c r="E48" s="9" t="str">
        <x:v>SL/HL</x:v>
      </x:c>
      <x:c r="F48" s="9" t="str">
        <x:v>Prokaryotic cell</x:v>
      </x:c>
      <x:c r="G48" s="9" t="str">
        <x:v>A cell lacking a membrane-bound nucleus and other membrane-bound organelles.</x:v>
      </x:c>
      <x:c r="H48" s="9" t="str">
        <x:v>OpenStax Biology 2e, 4.1–4.3 Studying Cells</x:v>
      </x:c>
      <x:c r="I48" s="9" t="str">
        <x:v>https://openstax.org/books/biology-2e/pages/4-introduction</x:v>
      </x:c>
      <x:c r="J48" s="9" t="str">
        <x:v>Verified</x:v>
      </x:c>
    </x:row>
    <x:row r="49" ht="42" customHeight="1">
      <x:c r="A49" s="8" t="str">
        <x:v>A2.2-03</x:v>
      </x:c>
      <x:c r="B49" s="8" t="str">
        <x:v>A2.2</x:v>
      </x:c>
      <x:c r="C49" s="9" t="str">
        <x:v>Unity and diversity</x:v>
      </x:c>
      <x:c r="D49" s="9" t="str">
        <x:v>Cell structure</x:v>
      </x:c>
      <x:c r="E49" s="9" t="str">
        <x:v>SL/HL</x:v>
      </x:c>
      <x:c r="F49" s="9" t="str">
        <x:v>Eukaryotic cell</x:v>
      </x:c>
      <x:c r="G49" s="9" t="str">
        <x:v>A cell with DNA enclosed in a nucleus and with membrane-bound organelles.</x:v>
      </x:c>
      <x:c r="H49" s="9" t="str">
        <x:v>OpenStax Biology 2e, 4.1–4.3 Studying Cells</x:v>
      </x:c>
      <x:c r="I49" s="9" t="str">
        <x:v>https://openstax.org/books/biology-2e/pages/4-introduction</x:v>
      </x:c>
      <x:c r="J49" s="9" t="str">
        <x:v>Verified</x:v>
      </x:c>
    </x:row>
    <x:row r="50" ht="42" customHeight="1">
      <x:c r="A50" s="8" t="str">
        <x:v>A2.2-04</x:v>
      </x:c>
      <x:c r="B50" s="8" t="str">
        <x:v>A2.2</x:v>
      </x:c>
      <x:c r="C50" s="9" t="str">
        <x:v>Unity and diversity</x:v>
      </x:c>
      <x:c r="D50" s="9" t="str">
        <x:v>Cell structure</x:v>
      </x:c>
      <x:c r="E50" s="9" t="str">
        <x:v>SL/HL</x:v>
      </x:c>
      <x:c r="F50" s="9" t="str">
        <x:v>Plasma membrane</x:v>
      </x:c>
      <x:c r="G50" s="9" t="str">
        <x:v>The selectively permeable boundary separating a cell’s contents from its external environment.</x:v>
      </x:c>
      <x:c r="H50" s="9" t="str">
        <x:v>OpenStax Biology 2e, 4.1–4.3 Studying Cells</x:v>
      </x:c>
      <x:c r="I50" s="9" t="str">
        <x:v>https://openstax.org/books/biology-2e/pages/4-introduction</x:v>
      </x:c>
      <x:c r="J50" s="9" t="str">
        <x:v>Verified</x:v>
      </x:c>
    </x:row>
    <x:row r="51" ht="42" customHeight="1">
      <x:c r="A51" s="8" t="str">
        <x:v>A2.2-05</x:v>
      </x:c>
      <x:c r="B51" s="8" t="str">
        <x:v>A2.2</x:v>
      </x:c>
      <x:c r="C51" s="9" t="str">
        <x:v>Unity and diversity</x:v>
      </x:c>
      <x:c r="D51" s="9" t="str">
        <x:v>Cell structure</x:v>
      </x:c>
      <x:c r="E51" s="9" t="str">
        <x:v>SL/HL</x:v>
      </x:c>
      <x:c r="F51" s="9" t="str">
        <x:v>Cytosol</x:v>
      </x:c>
      <x:c r="G51" s="9" t="str">
        <x:v>The aqueous part of the cytoplasm outside membrane-bound organelles.</x:v>
      </x:c>
      <x:c r="H51" s="9" t="str">
        <x:v>OpenStax Biology 2e, 4.1–4.3 Studying Cells</x:v>
      </x:c>
      <x:c r="I51" s="9" t="str">
        <x:v>https://openstax.org/books/biology-2e/pages/4-introduction</x:v>
      </x:c>
      <x:c r="J51" s="9" t="str">
        <x:v>Verified</x:v>
      </x:c>
    </x:row>
    <x:row r="52" ht="42" customHeight="1">
      <x:c r="A52" s="8" t="str">
        <x:v>A2.2-06</x:v>
      </x:c>
      <x:c r="B52" s="8" t="str">
        <x:v>A2.2</x:v>
      </x:c>
      <x:c r="C52" s="9" t="str">
        <x:v>Unity and diversity</x:v>
      </x:c>
      <x:c r="D52" s="9" t="str">
        <x:v>Cell structure</x:v>
      </x:c>
      <x:c r="E52" s="9" t="str">
        <x:v>SL/HL</x:v>
      </x:c>
      <x:c r="F52" s="9" t="str">
        <x:v>Nucleoid</x:v>
      </x:c>
      <x:c r="G52" s="9" t="str">
        <x:v>The non-membrane-bound region of a prokaryotic cell containing its main chromosome.</x:v>
      </x:c>
      <x:c r="H52" s="9" t="str">
        <x:v>OpenStax Biology 2e, 4.1–4.3 Studying Cells</x:v>
      </x:c>
      <x:c r="I52" s="9" t="str">
        <x:v>https://openstax.org/books/biology-2e/pages/4-introduction</x:v>
      </x:c>
      <x:c r="J52" s="9" t="str">
        <x:v>Verified</x:v>
      </x:c>
    </x:row>
    <x:row r="53" ht="42" customHeight="1">
      <x:c r="A53" s="8" t="str">
        <x:v>A2.2-07</x:v>
      </x:c>
      <x:c r="B53" s="8" t="str">
        <x:v>A2.2</x:v>
      </x:c>
      <x:c r="C53" s="9" t="str">
        <x:v>Unity and diversity</x:v>
      </x:c>
      <x:c r="D53" s="9" t="str">
        <x:v>Cell structure</x:v>
      </x:c>
      <x:c r="E53" s="9" t="str">
        <x:v>SL/HL</x:v>
      </x:c>
      <x:c r="F53" s="9" t="str">
        <x:v>Plasmid</x:v>
      </x:c>
      <x:c r="G53" s="9" t="str">
        <x:v>A small, independently replicating DNA molecule separate from the main bacterial chromosome.</x:v>
      </x:c>
      <x:c r="H53" s="9" t="str">
        <x:v>OpenStax Biology 2e, 4.1–4.3 Studying Cells</x:v>
      </x:c>
      <x:c r="I53" s="9" t="str">
        <x:v>https://openstax.org/books/biology-2e/pages/4-introduction</x:v>
      </x:c>
      <x:c r="J53" s="9" t="str">
        <x:v>Verified</x:v>
      </x:c>
    </x:row>
    <x:row r="54" ht="42" customHeight="1">
      <x:c r="A54" s="8" t="str">
        <x:v>A2.2-08</x:v>
      </x:c>
      <x:c r="B54" s="8" t="str">
        <x:v>A2.2</x:v>
      </x:c>
      <x:c r="C54" s="9" t="str">
        <x:v>Unity and diversity</x:v>
      </x:c>
      <x:c r="D54" s="9" t="str">
        <x:v>Cell structure</x:v>
      </x:c>
      <x:c r="E54" s="9" t="str">
        <x:v>SL/HL</x:v>
      </x:c>
      <x:c r="F54" s="9" t="str">
        <x:v>Peptidoglycan</x:v>
      </x:c>
      <x:c r="G54" s="9" t="str">
        <x:v>A mesh-like polymer of sugars and peptides that strengthens most bacterial cell walls.</x:v>
      </x:c>
      <x:c r="H54" s="9" t="str">
        <x:v>OpenStax Biology 2e, 4.1–4.3 Studying Cells</x:v>
      </x:c>
      <x:c r="I54" s="9" t="str">
        <x:v>https://openstax.org/books/biology-2e/pages/4-introduction</x:v>
      </x:c>
      <x:c r="J54" s="9" t="str">
        <x:v>Verified</x:v>
      </x:c>
    </x:row>
    <x:row r="55" ht="42" customHeight="1">
      <x:c r="A55" s="8" t="str">
        <x:v>A2.2-09</x:v>
      </x:c>
      <x:c r="B55" s="8" t="str">
        <x:v>A2.2</x:v>
      </x:c>
      <x:c r="C55" s="9" t="str">
        <x:v>Unity and diversity</x:v>
      </x:c>
      <x:c r="D55" s="9" t="str">
        <x:v>Cell structure</x:v>
      </x:c>
      <x:c r="E55" s="9" t="str">
        <x:v>SL/HL</x:v>
      </x:c>
      <x:c r="F55" s="9" t="str">
        <x:v>Ribosome</x:v>
      </x:c>
      <x:c r="G55" s="9" t="str">
        <x:v>A complex of ribosomal RNA and proteins that translates messenger RNA into a polypeptide.</x:v>
      </x:c>
      <x:c r="H55" s="9" t="str">
        <x:v>OpenStax Biology 2e, 4.1–4.3 Studying Cells</x:v>
      </x:c>
      <x:c r="I55" s="9" t="str">
        <x:v>https://openstax.org/books/biology-2e/pages/4-introduction</x:v>
      </x:c>
      <x:c r="J55" s="9" t="str">
        <x:v>Verified</x:v>
      </x:c>
    </x:row>
    <x:row r="56" ht="42" customHeight="1">
      <x:c r="A56" s="8" t="str">
        <x:v>A2.2-10</x:v>
      </x:c>
      <x:c r="B56" s="8" t="str">
        <x:v>A2.2</x:v>
      </x:c>
      <x:c r="C56" s="9" t="str">
        <x:v>Unity and diversity</x:v>
      </x:c>
      <x:c r="D56" s="9" t="str">
        <x:v>Cell structure</x:v>
      </x:c>
      <x:c r="E56" s="9" t="str">
        <x:v>SL/HL</x:v>
      </x:c>
      <x:c r="F56" s="9" t="str">
        <x:v>70S ribosome</x:v>
      </x:c>
      <x:c r="G56" s="9" t="str">
        <x:v>The smaller ribosome type found in prokaryotes, mitochondria, and chloroplasts, containing 50S and 30S subunits.</x:v>
      </x:c>
      <x:c r="H56" s="9" t="str">
        <x:v>OpenStax Biology 2e, 4.1–4.3 Studying Cells</x:v>
      </x:c>
      <x:c r="I56" s="9" t="str">
        <x:v>https://openstax.org/books/biology-2e/pages/4-introduction</x:v>
      </x:c>
      <x:c r="J56" s="9" t="str">
        <x:v>Verified</x:v>
      </x:c>
    </x:row>
    <x:row r="57" ht="42" customHeight="1">
      <x:c r="A57" s="8" t="str">
        <x:v>A2.2-11</x:v>
      </x:c>
      <x:c r="B57" s="8" t="str">
        <x:v>A2.2</x:v>
      </x:c>
      <x:c r="C57" s="9" t="str">
        <x:v>Unity and diversity</x:v>
      </x:c>
      <x:c r="D57" s="9" t="str">
        <x:v>Cell structure</x:v>
      </x:c>
      <x:c r="E57" s="9" t="str">
        <x:v>SL/HL</x:v>
      </x:c>
      <x:c r="F57" s="9" t="str">
        <x:v>80S ribosome</x:v>
      </x:c>
      <x:c r="G57" s="9" t="str">
        <x:v>The larger ribosome type in the eukaryotic cytosol, containing 60S and 40S subunits.</x:v>
      </x:c>
      <x:c r="H57" s="9" t="str">
        <x:v>OpenStax Biology 2e, 4.1–4.3 Studying Cells</x:v>
      </x:c>
      <x:c r="I57" s="9" t="str">
        <x:v>https://openstax.org/books/biology-2e/pages/4-introduction</x:v>
      </x:c>
      <x:c r="J57" s="9" t="str">
        <x:v>Verified</x:v>
      </x:c>
    </x:row>
    <x:row r="58" ht="42" customHeight="1">
      <x:c r="A58" s="8" t="str">
        <x:v>A2.2-12</x:v>
      </x:c>
      <x:c r="B58" s="8" t="str">
        <x:v>A2.2</x:v>
      </x:c>
      <x:c r="C58" s="9" t="str">
        <x:v>Unity and diversity</x:v>
      </x:c>
      <x:c r="D58" s="9" t="str">
        <x:v>Cell structure</x:v>
      </x:c>
      <x:c r="E58" s="9" t="str">
        <x:v>SL/HL</x:v>
      </x:c>
      <x:c r="F58" s="9" t="str">
        <x:v>Electron microscope</x:v>
      </x:c>
      <x:c r="G58" s="9" t="str">
        <x:v>An instrument that uses electrons rather than visible light to resolve very small cellular structures.</x:v>
      </x:c>
      <x:c r="H58" s="9" t="str">
        <x:v>OpenStax Biology 2e, 4.1–4.3 Studying Cells</x:v>
      </x:c>
      <x:c r="I58" s="9" t="str">
        <x:v>https://openstax.org/books/biology-2e/pages/4-introduction</x:v>
      </x:c>
      <x:c r="J58" s="9" t="str">
        <x:v>Verified</x:v>
      </x:c>
    </x:row>
    <x:row r="59" ht="42" customHeight="1">
      <x:c r="A59" s="8" t="str">
        <x:v>A2.2-13</x:v>
      </x:c>
      <x:c r="B59" s="8" t="str">
        <x:v>A2.2</x:v>
      </x:c>
      <x:c r="C59" s="9" t="str">
        <x:v>Unity and diversity</x:v>
      </x:c>
      <x:c r="D59" s="9" t="str">
        <x:v>Cell structure</x:v>
      </x:c>
      <x:c r="E59" s="9" t="str">
        <x:v>SL/HL</x:v>
      </x:c>
      <x:c r="F59" s="9" t="str">
        <x:v>Magnification</x:v>
      </x:c>
      <x:c r="G59" s="9" t="str">
        <x:v>The ratio of an image’s measured size to the specimen’s actual size.</x:v>
      </x:c>
      <x:c r="H59" s="9" t="str">
        <x:v>OpenStax Biology 2e, 4.1–4.3 Studying Cells</x:v>
      </x:c>
      <x:c r="I59" s="9" t="str">
        <x:v>https://openstax.org/books/biology-2e/pages/4-introduction</x:v>
      </x:c>
      <x:c r="J59" s="9" t="str">
        <x:v>Verified</x:v>
      </x:c>
    </x:row>
    <x:row r="60" ht="42" customHeight="1">
      <x:c r="A60" s="8" t="str">
        <x:v>A2.2-14</x:v>
      </x:c>
      <x:c r="B60" s="8" t="str">
        <x:v>A2.2</x:v>
      </x:c>
      <x:c r="C60" s="9" t="str">
        <x:v>Unity and diversity</x:v>
      </x:c>
      <x:c r="D60" s="9" t="str">
        <x:v>Cell structure</x:v>
      </x:c>
      <x:c r="E60" s="9" t="str">
        <x:v>SL/HL</x:v>
      </x:c>
      <x:c r="F60" s="9" t="str">
        <x:v>Resolution</x:v>
      </x:c>
      <x:c r="G60" s="9" t="str">
        <x:v>The ability to distinguish two nearby points as separate structures.</x:v>
      </x:c>
      <x:c r="H60" s="9" t="str">
        <x:v>OpenStax Biology 2e, 4.1–4.3 Studying Cells</x:v>
      </x:c>
      <x:c r="I60" s="9" t="str">
        <x:v>https://openstax.org/books/biology-2e/pages/4-introduction</x:v>
      </x:c>
      <x:c r="J60" s="9" t="str">
        <x:v>Verified</x:v>
      </x:c>
    </x:row>
    <x:row r="61" ht="42" customHeight="1">
      <x:c r="A61" s="8" t="str">
        <x:v>A2.2-15</x:v>
      </x:c>
      <x:c r="B61" s="8" t="str">
        <x:v>A2.2</x:v>
      </x:c>
      <x:c r="C61" s="9" t="str">
        <x:v>Unity and diversity</x:v>
      </x:c>
      <x:c r="D61" s="9" t="str">
        <x:v>Cell structure</x:v>
      </x:c>
      <x:c r="E61" s="9" t="str">
        <x:v>SL/HL</x:v>
      </x:c>
      <x:c r="F61" s="9" t="str">
        <x:v>Scale bar</x:v>
      </x:c>
      <x:c r="G61" s="9" t="str">
        <x:v>A line on an image that represents a stated actual distance in the specimen.</x:v>
      </x:c>
      <x:c r="H61" s="9" t="str">
        <x:v>OpenStax Biology 2e, 4.1–4.3 Studying Cells</x:v>
      </x:c>
      <x:c r="I61" s="9" t="str">
        <x:v>https://openstax.org/books/biology-2e/pages/4-introduction</x:v>
      </x:c>
      <x:c r="J61" s="9" t="str">
        <x:v>Verified</x:v>
      </x:c>
    </x:row>
    <x:row r="62" ht="42" customHeight="1">
      <x:c r="A62" s="8" t="str">
        <x:v>A2.3-01</x:v>
      </x:c>
      <x:c r="B62" s="8" t="str">
        <x:v>A2.3</x:v>
      </x:c>
      <x:c r="C62" s="9" t="str">
        <x:v>Unity and diversity</x:v>
      </x:c>
      <x:c r="D62" s="9" t="str">
        <x:v>Viruses</x:v>
      </x:c>
      <x:c r="E62" s="9" t="str">
        <x:v>HL</x:v>
      </x:c>
      <x:c r="F62" s="9" t="str">
        <x:v>Virus</x:v>
      </x:c>
      <x:c r="G62" s="9" t="str">
        <x:v>An acellular infectious agent consisting of genetic material in a protein coat, sometimes surrounded by an envelope.</x:v>
      </x:c>
      <x:c r="H62" s="9" t="str">
        <x:v>OpenStax Biology 2e, 21.1 Viral Evolution, Morphology, and Classification</x:v>
      </x:c>
      <x:c r="I62" s="9" t="str">
        <x:v>https://openstax.org/books/biology-2e/pages/21-1-viral-evolution-morphology-and-classification</x:v>
      </x:c>
      <x:c r="J62" s="9" t="str">
        <x:v>Verified</x:v>
      </x:c>
    </x:row>
    <x:row r="63" ht="42" customHeight="1">
      <x:c r="A63" s="8" t="str">
        <x:v>A2.3-02</x:v>
      </x:c>
      <x:c r="B63" s="8" t="str">
        <x:v>A2.3</x:v>
      </x:c>
      <x:c r="C63" s="9" t="str">
        <x:v>Unity and diversity</x:v>
      </x:c>
      <x:c r="D63" s="9" t="str">
        <x:v>Viruses</x:v>
      </x:c>
      <x:c r="E63" s="9" t="str">
        <x:v>HL</x:v>
      </x:c>
      <x:c r="F63" s="9" t="str">
        <x:v>Virion</x:v>
      </x:c>
      <x:c r="G63" s="9" t="str">
        <x:v>A complete virus particle outside a host cell and capable of initiating infection.</x:v>
      </x:c>
      <x:c r="H63" s="9" t="str">
        <x:v>OpenStax Biology 2e, 21.1 Viral Evolution, Morphology, and Classification</x:v>
      </x:c>
      <x:c r="I63" s="9" t="str">
        <x:v>https://openstax.org/books/biology-2e/pages/21-1-viral-evolution-morphology-and-classification</x:v>
      </x:c>
      <x:c r="J63" s="9" t="str">
        <x:v>Verified</x:v>
      </x:c>
    </x:row>
    <x:row r="64" ht="42" customHeight="1">
      <x:c r="A64" s="8" t="str">
        <x:v>A2.3-03</x:v>
      </x:c>
      <x:c r="B64" s="8" t="str">
        <x:v>A2.3</x:v>
      </x:c>
      <x:c r="C64" s="9" t="str">
        <x:v>Unity and diversity</x:v>
      </x:c>
      <x:c r="D64" s="9" t="str">
        <x:v>Viruses</x:v>
      </x:c>
      <x:c r="E64" s="9" t="str">
        <x:v>HL</x:v>
      </x:c>
      <x:c r="F64" s="9" t="str">
        <x:v>Capsid</x:v>
      </x:c>
      <x:c r="G64" s="9" t="str">
        <x:v>The protein shell that encloses and protects a virus’s genetic material.</x:v>
      </x:c>
      <x:c r="H64" s="9" t="str">
        <x:v>OpenStax Biology 2e, 21.1 Viral Evolution, Morphology, and Classification</x:v>
      </x:c>
      <x:c r="I64" s="9" t="str">
        <x:v>https://openstax.org/books/biology-2e/pages/21-1-viral-evolution-morphology-and-classification</x:v>
      </x:c>
      <x:c r="J64" s="9" t="str">
        <x:v>Verified</x:v>
      </x:c>
    </x:row>
    <x:row r="65" ht="42" customHeight="1">
      <x:c r="A65" s="8" t="str">
        <x:v>A2.3-04</x:v>
      </x:c>
      <x:c r="B65" s="8" t="str">
        <x:v>A2.3</x:v>
      </x:c>
      <x:c r="C65" s="9" t="str">
        <x:v>Unity and diversity</x:v>
      </x:c>
      <x:c r="D65" s="9" t="str">
        <x:v>Viruses</x:v>
      </x:c>
      <x:c r="E65" s="9" t="str">
        <x:v>HL</x:v>
      </x:c>
      <x:c r="F65" s="9" t="str">
        <x:v>Capsomere</x:v>
      </x:c>
      <x:c r="G65" s="9" t="str">
        <x:v>A repeating protein subunit that assembles with others to form a capsid.</x:v>
      </x:c>
      <x:c r="H65" s="9" t="str">
        <x:v>OpenStax Biology 2e, 21.1 Viral Evolution, Morphology, and Classification</x:v>
      </x:c>
      <x:c r="I65" s="9" t="str">
        <x:v>https://openstax.org/books/biology-2e/pages/21-1-viral-evolution-morphology-and-classification</x:v>
      </x:c>
      <x:c r="J65" s="9" t="str">
        <x:v>Verified</x:v>
      </x:c>
    </x:row>
    <x:row r="66" ht="42" customHeight="1">
      <x:c r="A66" s="8" t="str">
        <x:v>A2.3-05</x:v>
      </x:c>
      <x:c r="B66" s="8" t="str">
        <x:v>A2.3</x:v>
      </x:c>
      <x:c r="C66" s="9" t="str">
        <x:v>Unity and diversity</x:v>
      </x:c>
      <x:c r="D66" s="9" t="str">
        <x:v>Viruses</x:v>
      </x:c>
      <x:c r="E66" s="9" t="str">
        <x:v>HL</x:v>
      </x:c>
      <x:c r="F66" s="9" t="str">
        <x:v>Viral envelope</x:v>
      </x:c>
      <x:c r="G66" s="9" t="str">
        <x:v>A host-derived lipid membrane surrounding some virions and bearing virus-encoded proteins.</x:v>
      </x:c>
      <x:c r="H66" s="9" t="str">
        <x:v>OpenStax Biology 2e, 21.1 Viral Evolution, Morphology, and Classification</x:v>
      </x:c>
      <x:c r="I66" s="9" t="str">
        <x:v>https://openstax.org/books/biology-2e/pages/21-1-viral-evolution-morphology-and-classification</x:v>
      </x:c>
      <x:c r="J66" s="9" t="str">
        <x:v>Verified</x:v>
      </x:c>
    </x:row>
    <x:row r="67" ht="42" customHeight="1">
      <x:c r="A67" s="8" t="str">
        <x:v>A2.3-06</x:v>
      </x:c>
      <x:c r="B67" s="8" t="str">
        <x:v>A2.3</x:v>
      </x:c>
      <x:c r="C67" s="9" t="str">
        <x:v>Unity and diversity</x:v>
      </x:c>
      <x:c r="D67" s="9" t="str">
        <x:v>Viruses</x:v>
      </x:c>
      <x:c r="E67" s="9" t="str">
        <x:v>HL</x:v>
      </x:c>
      <x:c r="F67" s="9" t="str">
        <x:v>Viral genome</x:v>
      </x:c>
      <x:c r="G67" s="9" t="str">
        <x:v>The DNA or RNA sequence carrying the hereditary information of a virus.</x:v>
      </x:c>
      <x:c r="H67" s="9" t="str">
        <x:v>OpenStax Biology 2e, 21.1 Viral Evolution, Morphology, and Classification</x:v>
      </x:c>
      <x:c r="I67" s="9" t="str">
        <x:v>https://openstax.org/books/biology-2e/pages/21-1-viral-evolution-morphology-and-classification</x:v>
      </x:c>
      <x:c r="J67" s="9" t="str">
        <x:v>Verified</x:v>
      </x:c>
    </x:row>
    <x:row r="68" ht="42" customHeight="1">
      <x:c r="A68" s="8" t="str">
        <x:v>A2.3-07</x:v>
      </x:c>
      <x:c r="B68" s="8" t="str">
        <x:v>A2.3</x:v>
      </x:c>
      <x:c r="C68" s="9" t="str">
        <x:v>Unity and diversity</x:v>
      </x:c>
      <x:c r="D68" s="9" t="str">
        <x:v>Viruses</x:v>
      </x:c>
      <x:c r="E68" s="9" t="str">
        <x:v>HL</x:v>
      </x:c>
      <x:c r="F68" s="9" t="str">
        <x:v>Host range</x:v>
      </x:c>
      <x:c r="G68" s="9" t="str">
        <x:v>The set of host species or cell types that a virus can infect.</x:v>
      </x:c>
      <x:c r="H68" s="9" t="str">
        <x:v>OpenStax Biology 2e, 21.1 Viral Evolution, Morphology, and Classification</x:v>
      </x:c>
      <x:c r="I68" s="9" t="str">
        <x:v>https://openstax.org/books/biology-2e/pages/21-1-viral-evolution-morphology-and-classification</x:v>
      </x:c>
      <x:c r="J68" s="9" t="str">
        <x:v>Verified</x:v>
      </x:c>
    </x:row>
    <x:row r="69" ht="42" customHeight="1">
      <x:c r="A69" s="8" t="str">
        <x:v>A2.3-08</x:v>
      </x:c>
      <x:c r="B69" s="8" t="str">
        <x:v>A2.3</x:v>
      </x:c>
      <x:c r="C69" s="9" t="str">
        <x:v>Unity and diversity</x:v>
      </x:c>
      <x:c r="D69" s="9" t="str">
        <x:v>Viruses</x:v>
      </x:c>
      <x:c r="E69" s="9" t="str">
        <x:v>HL</x:v>
      </x:c>
      <x:c r="F69" s="9" t="str">
        <x:v>Obligate intracellular parasite</x:v>
      </x:c>
      <x:c r="G69" s="9" t="str">
        <x:v>An agent that can reproduce only by using the machinery of a living host cell.</x:v>
      </x:c>
      <x:c r="H69" s="9" t="str">
        <x:v>OpenStax Biology 2e, 21.1 Viral Evolution, Morphology, and Classification</x:v>
      </x:c>
      <x:c r="I69" s="9" t="str">
        <x:v>https://openstax.org/books/biology-2e/pages/21-1-viral-evolution-morphology-and-classification</x:v>
      </x:c>
      <x:c r="J69" s="9" t="str">
        <x:v>Verified</x:v>
      </x:c>
    </x:row>
    <x:row r="70" ht="42" customHeight="1">
      <x:c r="A70" s="8" t="str">
        <x:v>A2.3-09</x:v>
      </x:c>
      <x:c r="B70" s="8" t="str">
        <x:v>A2.3</x:v>
      </x:c>
      <x:c r="C70" s="9" t="str">
        <x:v>Unity and diversity</x:v>
      </x:c>
      <x:c r="D70" s="9" t="str">
        <x:v>Viruses</x:v>
      </x:c>
      <x:c r="E70" s="9" t="str">
        <x:v>HL</x:v>
      </x:c>
      <x:c r="F70" s="9" t="str">
        <x:v>Bacteriophage</x:v>
      </x:c>
      <x:c r="G70" s="9" t="str">
        <x:v>A virus that infects bacteria.</x:v>
      </x:c>
      <x:c r="H70" s="9" t="str">
        <x:v>OpenStax Biology 2e, 21.1 Viral Evolution, Morphology, and Classification</x:v>
      </x:c>
      <x:c r="I70" s="9" t="str">
        <x:v>https://openstax.org/books/biology-2e/pages/21-1-viral-evolution-morphology-and-classification</x:v>
      </x:c>
      <x:c r="J70" s="9" t="str">
        <x:v>Verified</x:v>
      </x:c>
    </x:row>
    <x:row r="71" ht="42" customHeight="1">
      <x:c r="A71" s="8" t="str">
        <x:v>A2.3-10</x:v>
      </x:c>
      <x:c r="B71" s="8" t="str">
        <x:v>A2.3</x:v>
      </x:c>
      <x:c r="C71" s="9" t="str">
        <x:v>Unity and diversity</x:v>
      </x:c>
      <x:c r="D71" s="9" t="str">
        <x:v>Viruses</x:v>
      </x:c>
      <x:c r="E71" s="9" t="str">
        <x:v>HL</x:v>
      </x:c>
      <x:c r="F71" s="9" t="str">
        <x:v>Lytic cycle</x:v>
      </x:c>
      <x:c r="G71" s="9" t="str">
        <x:v>Viral replication that rapidly produces virions and usually ends with rupture of the host cell.</x:v>
      </x:c>
      <x:c r="H71" s="9" t="str">
        <x:v>OpenStax Biology 2e, 21.1 Viral Evolution, Morphology, and Classification</x:v>
      </x:c>
      <x:c r="I71" s="9" t="str">
        <x:v>https://openstax.org/books/biology-2e/pages/21-1-viral-evolution-morphology-and-classification</x:v>
      </x:c>
      <x:c r="J71" s="9" t="str">
        <x:v>Verified</x:v>
      </x:c>
    </x:row>
    <x:row r="72" ht="42" customHeight="1">
      <x:c r="A72" s="8" t="str">
        <x:v>A2.3-11</x:v>
      </x:c>
      <x:c r="B72" s="8" t="str">
        <x:v>A2.3</x:v>
      </x:c>
      <x:c r="C72" s="9" t="str">
        <x:v>Unity and diversity</x:v>
      </x:c>
      <x:c r="D72" s="9" t="str">
        <x:v>Viruses</x:v>
      </x:c>
      <x:c r="E72" s="9" t="str">
        <x:v>HL</x:v>
      </x:c>
      <x:c r="F72" s="9" t="str">
        <x:v>Lysogenic cycle</x:v>
      </x:c>
      <x:c r="G72" s="9" t="str">
        <x:v>A bacteriophage pathway in which viral DNA persists in a host genome before possible activation.</x:v>
      </x:c>
      <x:c r="H72" s="9" t="str">
        <x:v>OpenStax Biology 2e, 21.1 Viral Evolution, Morphology, and Classification</x:v>
      </x:c>
      <x:c r="I72" s="9" t="str">
        <x:v>https://openstax.org/books/biology-2e/pages/21-1-viral-evolution-morphology-and-classification</x:v>
      </x:c>
      <x:c r="J72" s="9" t="str">
        <x:v>Verified</x:v>
      </x:c>
    </x:row>
    <x:row r="73" ht="42" customHeight="1">
      <x:c r="A73" s="8" t="str">
        <x:v>A2.3-12</x:v>
      </x:c>
      <x:c r="B73" s="8" t="str">
        <x:v>A2.3</x:v>
      </x:c>
      <x:c r="C73" s="9" t="str">
        <x:v>Unity and diversity</x:v>
      </x:c>
      <x:c r="D73" s="9" t="str">
        <x:v>Viruses</x:v>
      </x:c>
      <x:c r="E73" s="9" t="str">
        <x:v>HL</x:v>
      </x:c>
      <x:c r="F73" s="9" t="str">
        <x:v>Prophage</x:v>
      </x:c>
      <x:c r="G73" s="9" t="str">
        <x:v>Bacteriophage DNA integrated into a bacterial chromosome during lysogeny.</x:v>
      </x:c>
      <x:c r="H73" s="9" t="str">
        <x:v>OpenStax Biology 2e, 21.1 Viral Evolution, Morphology, and Classification</x:v>
      </x:c>
      <x:c r="I73" s="9" t="str">
        <x:v>https://openstax.org/books/biology-2e/pages/21-1-viral-evolution-morphology-and-classification</x:v>
      </x:c>
      <x:c r="J73" s="9" t="str">
        <x:v>Verified</x:v>
      </x:c>
    </x:row>
    <x:row r="74" ht="42" customHeight="1">
      <x:c r="A74" s="8" t="str">
        <x:v>A2.3-13</x:v>
      </x:c>
      <x:c r="B74" s="8" t="str">
        <x:v>A2.3</x:v>
      </x:c>
      <x:c r="C74" s="9" t="str">
        <x:v>Unity and diversity</x:v>
      </x:c>
      <x:c r="D74" s="9" t="str">
        <x:v>Viruses</x:v>
      </x:c>
      <x:c r="E74" s="9" t="str">
        <x:v>HL</x:v>
      </x:c>
      <x:c r="F74" s="9" t="str">
        <x:v>Retrovirus</x:v>
      </x:c>
      <x:c r="G74" s="9" t="str">
        <x:v>An RNA virus that makes a DNA copy of its genome inside the host cell.</x:v>
      </x:c>
      <x:c r="H74" s="9" t="str">
        <x:v>OpenStax Biology 2e, 21.1 Viral Evolution, Morphology, and Classification</x:v>
      </x:c>
      <x:c r="I74" s="9" t="str">
        <x:v>https://openstax.org/books/biology-2e/pages/21-1-viral-evolution-morphology-and-classification</x:v>
      </x:c>
      <x:c r="J74" s="9" t="str">
        <x:v>Verified</x:v>
      </x:c>
    </x:row>
    <x:row r="75" ht="42" customHeight="1">
      <x:c r="A75" s="8" t="str">
        <x:v>A2.3-14</x:v>
      </x:c>
      <x:c r="B75" s="8" t="str">
        <x:v>A2.3</x:v>
      </x:c>
      <x:c r="C75" s="9" t="str">
        <x:v>Unity and diversity</x:v>
      </x:c>
      <x:c r="D75" s="9" t="str">
        <x:v>Viruses</x:v>
      </x:c>
      <x:c r="E75" s="9" t="str">
        <x:v>HL</x:v>
      </x:c>
      <x:c r="F75" s="9" t="str">
        <x:v>Reverse transcriptase</x:v>
      </x:c>
      <x:c r="G75" s="9" t="str">
        <x:v>An enzyme that synthesizes DNA using RNA as the template.</x:v>
      </x:c>
      <x:c r="H75" s="9" t="str">
        <x:v>OpenStax Biology 2e, 21.1 Viral Evolution, Morphology, and Classification</x:v>
      </x:c>
      <x:c r="I75" s="9" t="str">
        <x:v>https://openstax.org/books/biology-2e/pages/21-1-viral-evolution-morphology-and-classification</x:v>
      </x:c>
      <x:c r="J75" s="9" t="str">
        <x:v>Verified</x:v>
      </x:c>
    </x:row>
    <x:row r="76" ht="42" customHeight="1">
      <x:c r="A76" s="8" t="str">
        <x:v>A2.3-15</x:v>
      </x:c>
      <x:c r="B76" s="8" t="str">
        <x:v>A2.3</x:v>
      </x:c>
      <x:c r="C76" s="9" t="str">
        <x:v>Unity and diversity</x:v>
      </x:c>
      <x:c r="D76" s="9" t="str">
        <x:v>Viruses</x:v>
      </x:c>
      <x:c r="E76" s="9" t="str">
        <x:v>HL</x:v>
      </x:c>
      <x:c r="F76" s="9" t="str">
        <x:v>Provirus</x:v>
      </x:c>
      <x:c r="G76" s="9" t="str">
        <x:v>Viral DNA integrated into the chromosome of a eukaryotic host cell.</x:v>
      </x:c>
      <x:c r="H76" s="9" t="str">
        <x:v>OpenStax Biology 2e, 21.1 Viral Evolution, Morphology, and Classification</x:v>
      </x:c>
      <x:c r="I76" s="9" t="str">
        <x:v>https://openstax.org/books/biology-2e/pages/21-1-viral-evolution-morphology-and-classification</x:v>
      </x:c>
      <x:c r="J76" s="9" t="str">
        <x:v>Verified</x:v>
      </x:c>
    </x:row>
    <x:row r="77" ht="42" customHeight="1">
      <x:c r="A77" s="8" t="str">
        <x:v>A3.1-01</x:v>
      </x:c>
      <x:c r="B77" s="8" t="str">
        <x:v>A3.1</x:v>
      </x:c>
      <x:c r="C77" s="9" t="str">
        <x:v>Unity and diversity</x:v>
      </x:c>
      <x:c r="D77" s="9" t="str">
        <x:v>Diversity of organisms</x:v>
      </x:c>
      <x:c r="E77" s="9" t="str">
        <x:v>SL/HL</x:v>
      </x:c>
      <x:c r="F77" s="9" t="str">
        <x:v>Biological species concept</x:v>
      </x:c>
      <x:c r="G77" s="9" t="str">
        <x:v>A species definition based on natural interbreeding and reproductive isolation from other groups.</x:v>
      </x:c>
      <x:c r="H77" s="9" t="str">
        <x:v>OpenStax Biology 2e, Biological Diversity</x:v>
      </x:c>
      <x:c r="I77" s="9" t="str">
        <x:v>https://openstax.org/books/biology-2e/pages/1-introduction</x:v>
      </x:c>
      <x:c r="J77" s="9" t="str">
        <x:v>Verified</x:v>
      </x:c>
    </x:row>
    <x:row r="78" ht="42" customHeight="1">
      <x:c r="A78" s="8" t="str">
        <x:v>A3.1-02</x:v>
      </x:c>
      <x:c r="B78" s="8" t="str">
        <x:v>A3.1</x:v>
      </x:c>
      <x:c r="C78" s="9" t="str">
        <x:v>Unity and diversity</x:v>
      </x:c>
      <x:c r="D78" s="9" t="str">
        <x:v>Diversity of organisms</x:v>
      </x:c>
      <x:c r="E78" s="9" t="str">
        <x:v>SL/HL</x:v>
      </x:c>
      <x:c r="F78" s="9" t="str">
        <x:v>Morphological species concept</x:v>
      </x:c>
      <x:c r="G78" s="9" t="str">
        <x:v>A species definition based on a consistent set of observable structural features.</x:v>
      </x:c>
      <x:c r="H78" s="9" t="str">
        <x:v>OpenStax Biology 2e, Biological Diversity</x:v>
      </x:c>
      <x:c r="I78" s="9" t="str">
        <x:v>https://openstax.org/books/biology-2e/pages/1-introduction</x:v>
      </x:c>
      <x:c r="J78" s="9" t="str">
        <x:v>Verified</x:v>
      </x:c>
    </x:row>
    <x:row r="79" ht="42" customHeight="1">
      <x:c r="A79" s="8" t="str">
        <x:v>A3.1-03</x:v>
      </x:c>
      <x:c r="B79" s="8" t="str">
        <x:v>A3.1</x:v>
      </x:c>
      <x:c r="C79" s="9" t="str">
        <x:v>Unity and diversity</x:v>
      </x:c>
      <x:c r="D79" s="9" t="str">
        <x:v>Diversity of organisms</x:v>
      </x:c>
      <x:c r="E79" s="9" t="str">
        <x:v>SL/HL</x:v>
      </x:c>
      <x:c r="F79" s="9" t="str">
        <x:v>Binomial nomenclature</x:v>
      </x:c>
      <x:c r="G79" s="9" t="str">
        <x:v>The two-part scientific naming system that combines a genus name with a specific epithet.</x:v>
      </x:c>
      <x:c r="H79" s="9" t="str">
        <x:v>OpenStax Biology 2e, Biological Diversity</x:v>
      </x:c>
      <x:c r="I79" s="9" t="str">
        <x:v>https://openstax.org/books/biology-2e/pages/1-introduction</x:v>
      </x:c>
      <x:c r="J79" s="9" t="str">
        <x:v>Verified</x:v>
      </x:c>
    </x:row>
    <x:row r="80" ht="42" customHeight="1">
      <x:c r="A80" s="8" t="str">
        <x:v>A3.1-04</x:v>
      </x:c>
      <x:c r="B80" s="8" t="str">
        <x:v>A3.1</x:v>
      </x:c>
      <x:c r="C80" s="9" t="str">
        <x:v>Unity and diversity</x:v>
      </x:c>
      <x:c r="D80" s="9" t="str">
        <x:v>Diversity of organisms</x:v>
      </x:c>
      <x:c r="E80" s="9" t="str">
        <x:v>SL/HL</x:v>
      </x:c>
      <x:c r="F80" s="9" t="str">
        <x:v>Genus</x:v>
      </x:c>
      <x:c r="G80" s="9" t="str">
        <x:v>A taxonomic rank above species whose name forms the first part of a binomial.</x:v>
      </x:c>
      <x:c r="H80" s="9" t="str">
        <x:v>OpenStax Biology 2e, Biological Diversity</x:v>
      </x:c>
      <x:c r="I80" s="9" t="str">
        <x:v>https://openstax.org/books/biology-2e/pages/1-introduction</x:v>
      </x:c>
      <x:c r="J80" s="9" t="str">
        <x:v>Verified</x:v>
      </x:c>
    </x:row>
    <x:row r="81" ht="42" customHeight="1">
      <x:c r="A81" s="8" t="str">
        <x:v>A3.1-05</x:v>
      </x:c>
      <x:c r="B81" s="8" t="str">
        <x:v>A3.1</x:v>
      </x:c>
      <x:c r="C81" s="9" t="str">
        <x:v>Unity and diversity</x:v>
      </x:c>
      <x:c r="D81" s="9" t="str">
        <x:v>Diversity of organisms</x:v>
      </x:c>
      <x:c r="E81" s="9" t="str">
        <x:v>SL/HL</x:v>
      </x:c>
      <x:c r="F81" s="9" t="str">
        <x:v>Specific epithet</x:v>
      </x:c>
      <x:c r="G81" s="9" t="str">
        <x:v>The second, lowercase part of a species’ scientific binomial; it is not a complete name alone.</x:v>
      </x:c>
      <x:c r="H81" s="9" t="str">
        <x:v>OpenStax Biology 2e, Biological Diversity</x:v>
      </x:c>
      <x:c r="I81" s="9" t="str">
        <x:v>https://openstax.org/books/biology-2e/pages/1-introduction</x:v>
      </x:c>
      <x:c r="J81" s="9" t="str">
        <x:v>Verified</x:v>
      </x:c>
    </x:row>
    <x:row r="82" ht="42" customHeight="1">
      <x:c r="A82" s="8" t="str">
        <x:v>A3.1-06</x:v>
      </x:c>
      <x:c r="B82" s="8" t="str">
        <x:v>A3.1</x:v>
      </x:c>
      <x:c r="C82" s="9" t="str">
        <x:v>Unity and diversity</x:v>
      </x:c>
      <x:c r="D82" s="9" t="str">
        <x:v>Diversity of organisms</x:v>
      </x:c>
      <x:c r="E82" s="9" t="str">
        <x:v>SL/HL</x:v>
      </x:c>
      <x:c r="F82" s="9" t="str">
        <x:v>Domain</x:v>
      </x:c>
      <x:c r="G82" s="9" t="str">
        <x:v>The broadest commonly used taxonomic rank, above kingdom.</x:v>
      </x:c>
      <x:c r="H82" s="9" t="str">
        <x:v>OpenStax Biology 2e, Biological Diversity</x:v>
      </x:c>
      <x:c r="I82" s="9" t="str">
        <x:v>https://openstax.org/books/biology-2e/pages/1-introduction</x:v>
      </x:c>
      <x:c r="J82" s="9" t="str">
        <x:v>Verified</x:v>
      </x:c>
    </x:row>
    <x:row r="83" ht="42" customHeight="1">
      <x:c r="A83" s="8" t="str">
        <x:v>A3.1-07</x:v>
      </x:c>
      <x:c r="B83" s="8" t="str">
        <x:v>A3.1</x:v>
      </x:c>
      <x:c r="C83" s="9" t="str">
        <x:v>Unity and diversity</x:v>
      </x:c>
      <x:c r="D83" s="9" t="str">
        <x:v>Diversity of organisms</x:v>
      </x:c>
      <x:c r="E83" s="9" t="str">
        <x:v>SL/HL</x:v>
      </x:c>
      <x:c r="F83" s="9" t="str">
        <x:v>Bacteria</x:v>
      </x:c>
      <x:c r="G83" s="9" t="str">
        <x:v>The domain of prokaryotes whose cell walls usually contain peptidoglycan.</x:v>
      </x:c>
      <x:c r="H83" s="9" t="str">
        <x:v>OpenStax Biology 2e, Biological Diversity</x:v>
      </x:c>
      <x:c r="I83" s="9" t="str">
        <x:v>https://openstax.org/books/biology-2e/pages/1-introduction</x:v>
      </x:c>
      <x:c r="J83" s="9" t="str">
        <x:v>Verified</x:v>
      </x:c>
    </x:row>
    <x:row r="84" ht="42" customHeight="1">
      <x:c r="A84" s="8" t="str">
        <x:v>A3.1-08</x:v>
      </x:c>
      <x:c r="B84" s="8" t="str">
        <x:v>A3.1</x:v>
      </x:c>
      <x:c r="C84" s="9" t="str">
        <x:v>Unity and diversity</x:v>
      </x:c>
      <x:c r="D84" s="9" t="str">
        <x:v>Diversity of organisms</x:v>
      </x:c>
      <x:c r="E84" s="9" t="str">
        <x:v>SL/HL</x:v>
      </x:c>
      <x:c r="F84" s="9" t="str">
        <x:v>Archaea</x:v>
      </x:c>
      <x:c r="G84" s="9" t="str">
        <x:v>The domain of prokaryotes distinct from bacteria in membrane chemistry and many genetic features.</x:v>
      </x:c>
      <x:c r="H84" s="9" t="str">
        <x:v>OpenStax Biology 2e, Biological Diversity</x:v>
      </x:c>
      <x:c r="I84" s="9" t="str">
        <x:v>https://openstax.org/books/biology-2e/pages/1-introduction</x:v>
      </x:c>
      <x:c r="J84" s="9" t="str">
        <x:v>Verified</x:v>
      </x:c>
    </x:row>
    <x:row r="85" ht="42" customHeight="1">
      <x:c r="A85" s="8" t="str">
        <x:v>A3.1-09</x:v>
      </x:c>
      <x:c r="B85" s="8" t="str">
        <x:v>A3.1</x:v>
      </x:c>
      <x:c r="C85" s="9" t="str">
        <x:v>Unity and diversity</x:v>
      </x:c>
      <x:c r="D85" s="9" t="str">
        <x:v>Diversity of organisms</x:v>
      </x:c>
      <x:c r="E85" s="9" t="str">
        <x:v>SL/HL</x:v>
      </x:c>
      <x:c r="F85" s="9" t="str">
        <x:v>Eukarya</x:v>
      </x:c>
      <x:c r="G85" s="9" t="str">
        <x:v>The domain containing organisms whose cells have nuclei and membrane-bound organelles.</x:v>
      </x:c>
      <x:c r="H85" s="9" t="str">
        <x:v>OpenStax Biology 2e, Biological Diversity</x:v>
      </x:c>
      <x:c r="I85" s="9" t="str">
        <x:v>https://openstax.org/books/biology-2e/pages/1-introduction</x:v>
      </x:c>
      <x:c r="J85" s="9" t="str">
        <x:v>Verified</x:v>
      </x:c>
    </x:row>
    <x:row r="86" ht="42" customHeight="1">
      <x:c r="A86" s="8" t="str">
        <x:v>A3.1-10</x:v>
      </x:c>
      <x:c r="B86" s="8" t="str">
        <x:v>A3.1</x:v>
      </x:c>
      <x:c r="C86" s="9" t="str">
        <x:v>Unity and diversity</x:v>
      </x:c>
      <x:c r="D86" s="9" t="str">
        <x:v>Diversity of organisms</x:v>
      </x:c>
      <x:c r="E86" s="9" t="str">
        <x:v>SL/HL</x:v>
      </x:c>
      <x:c r="F86" s="9" t="str">
        <x:v>Dichotomous key</x:v>
      </x:c>
      <x:c r="G86" s="9" t="str">
        <x:v>An identification tool that narrows possibilities through a sequence of paired alternatives.</x:v>
      </x:c>
      <x:c r="H86" s="9" t="str">
        <x:v>OpenStax Biology 2e, Biological Diversity</x:v>
      </x:c>
      <x:c r="I86" s="9" t="str">
        <x:v>https://openstax.org/books/biology-2e/pages/1-introduction</x:v>
      </x:c>
      <x:c r="J86" s="9" t="str">
        <x:v>Verified</x:v>
      </x:c>
    </x:row>
    <x:row r="87" ht="42" customHeight="1">
      <x:c r="A87" s="8" t="str">
        <x:v>A3.1-11</x:v>
      </x:c>
      <x:c r="B87" s="8" t="str">
        <x:v>A3.1</x:v>
      </x:c>
      <x:c r="C87" s="9" t="str">
        <x:v>Unity and diversity</x:v>
      </x:c>
      <x:c r="D87" s="9" t="str">
        <x:v>Diversity of organisms</x:v>
      </x:c>
      <x:c r="E87" s="9" t="str">
        <x:v>SL/HL</x:v>
      </x:c>
      <x:c r="F87" s="9" t="str">
        <x:v>Bryophyte</x:v>
      </x:c>
      <x:c r="G87" s="9" t="str">
        <x:v>A non-vascular land plant such as a moss, liverwort, or hornwort.</x:v>
      </x:c>
      <x:c r="H87" s="9" t="str">
        <x:v>OpenStax Biology 2e, Biological Diversity</x:v>
      </x:c>
      <x:c r="I87" s="9" t="str">
        <x:v>https://openstax.org/books/biology-2e/pages/1-introduction</x:v>
      </x:c>
      <x:c r="J87" s="9" t="str">
        <x:v>Verified</x:v>
      </x:c>
    </x:row>
    <x:row r="88" ht="42" customHeight="1">
      <x:c r="A88" s="8" t="str">
        <x:v>A3.1-12</x:v>
      </x:c>
      <x:c r="B88" s="8" t="str">
        <x:v>A3.1</x:v>
      </x:c>
      <x:c r="C88" s="9" t="str">
        <x:v>Unity and diversity</x:v>
      </x:c>
      <x:c r="D88" s="9" t="str">
        <x:v>Diversity of organisms</x:v>
      </x:c>
      <x:c r="E88" s="9" t="str">
        <x:v>SL/HL</x:v>
      </x:c>
      <x:c r="F88" s="9" t="str">
        <x:v>Fern</x:v>
      </x:c>
      <x:c r="G88" s="9" t="str">
        <x:v>A seedless vascular plant that produces spores, typically on fronds.</x:v>
      </x:c>
      <x:c r="H88" s="9" t="str">
        <x:v>OpenStax Biology 2e, Biological Diversity</x:v>
      </x:c>
      <x:c r="I88" s="9" t="str">
        <x:v>https://openstax.org/books/biology-2e/pages/1-introduction</x:v>
      </x:c>
      <x:c r="J88" s="9" t="str">
        <x:v>Verified</x:v>
      </x:c>
    </x:row>
    <x:row r="89" ht="42" customHeight="1">
      <x:c r="A89" s="8" t="str">
        <x:v>A3.1-13</x:v>
      </x:c>
      <x:c r="B89" s="8" t="str">
        <x:v>A3.1</x:v>
      </x:c>
      <x:c r="C89" s="9" t="str">
        <x:v>Unity and diversity</x:v>
      </x:c>
      <x:c r="D89" s="9" t="str">
        <x:v>Diversity of organisms</x:v>
      </x:c>
      <x:c r="E89" s="9" t="str">
        <x:v>SL/HL</x:v>
      </x:c>
      <x:c r="F89" s="9" t="str">
        <x:v>Gymnosperm</x:v>
      </x:c>
      <x:c r="G89" s="9" t="str">
        <x:v>A vascular seed plant whose ovules and seeds are not enclosed within an ovary.</x:v>
      </x:c>
      <x:c r="H89" s="9" t="str">
        <x:v>OpenStax Biology 2e, Biological Diversity</x:v>
      </x:c>
      <x:c r="I89" s="9" t="str">
        <x:v>https://openstax.org/books/biology-2e/pages/1-introduction</x:v>
      </x:c>
      <x:c r="J89" s="9" t="str">
        <x:v>Verified</x:v>
      </x:c>
    </x:row>
    <x:row r="90" ht="42" customHeight="1">
      <x:c r="A90" s="8" t="str">
        <x:v>A3.1-14</x:v>
      </x:c>
      <x:c r="B90" s="8" t="str">
        <x:v>A3.1</x:v>
      </x:c>
      <x:c r="C90" s="9" t="str">
        <x:v>Unity and diversity</x:v>
      </x:c>
      <x:c r="D90" s="9" t="str">
        <x:v>Diversity of organisms</x:v>
      </x:c>
      <x:c r="E90" s="9" t="str">
        <x:v>SL/HL</x:v>
      </x:c>
      <x:c r="F90" s="9" t="str">
        <x:v>Angiosperm</x:v>
      </x:c>
      <x:c r="G90" s="9" t="str">
        <x:v>A flowering plant whose seeds develop within an ovary that matures into a fruit.</x:v>
      </x:c>
      <x:c r="H90" s="9" t="str">
        <x:v>OpenStax Biology 2e, Biological Diversity</x:v>
      </x:c>
      <x:c r="I90" s="9" t="str">
        <x:v>https://openstax.org/books/biology-2e/pages/1-introduction</x:v>
      </x:c>
      <x:c r="J90" s="9" t="str">
        <x:v>Verified</x:v>
      </x:c>
    </x:row>
    <x:row r="91" ht="42" customHeight="1">
      <x:c r="A91" s="8" t="str">
        <x:v>A3.1-15</x:v>
      </x:c>
      <x:c r="B91" s="8" t="str">
        <x:v>A3.1</x:v>
      </x:c>
      <x:c r="C91" s="9" t="str">
        <x:v>Unity and diversity</x:v>
      </x:c>
      <x:c r="D91" s="9" t="str">
        <x:v>Diversity of organisms</x:v>
      </x:c>
      <x:c r="E91" s="9" t="str">
        <x:v>SL/HL</x:v>
      </x:c>
      <x:c r="F91" s="9" t="str">
        <x:v>Vertebrate</x:v>
      </x:c>
      <x:c r="G91" s="9" t="str">
        <x:v>A chordate animal with a vertebral column surrounding the spinal cord.</x:v>
      </x:c>
      <x:c r="H91" s="9" t="str">
        <x:v>OpenStax Biology 2e, Biological Diversity</x:v>
      </x:c>
      <x:c r="I91" s="9" t="str">
        <x:v>https://openstax.org/books/biology-2e/pages/1-introduction</x:v>
      </x:c>
      <x:c r="J91" s="9" t="str">
        <x:v>Verified</x:v>
      </x:c>
    </x:row>
    <x:row r="92" ht="42" customHeight="1">
      <x:c r="A92" s="8" t="str">
        <x:v>A3.2-01</x:v>
      </x:c>
      <x:c r="B92" s="8" t="str">
        <x:v>A3.2</x:v>
      </x:c>
      <x:c r="C92" s="9" t="str">
        <x:v>Unity and diversity</x:v>
      </x:c>
      <x:c r="D92" s="9" t="str">
        <x:v>Classification and cladistics</x:v>
      </x:c>
      <x:c r="E92" s="9" t="str">
        <x:v>HL</x:v>
      </x:c>
      <x:c r="F92" s="9" t="str">
        <x:v>Taxonomy</x:v>
      </x:c>
      <x:c r="G92" s="9" t="str">
        <x:v>The science of naming, describing, and classifying organisms.</x:v>
      </x:c>
      <x:c r="H92" s="9" t="str">
        <x:v>OpenStax Biology 2e, 20.2 Determining Evolutionary Relationships</x:v>
      </x:c>
      <x:c r="I92" s="9" t="str">
        <x:v>https://openstax.org/books/biology-2e/pages/20-2-determining-evolutionary-relationships</x:v>
      </x:c>
      <x:c r="J92" s="9" t="str">
        <x:v>Verified</x:v>
      </x:c>
    </x:row>
    <x:row r="93" ht="42" customHeight="1">
      <x:c r="A93" s="8" t="str">
        <x:v>A3.2-02</x:v>
      </x:c>
      <x:c r="B93" s="8" t="str">
        <x:v>A3.2</x:v>
      </x:c>
      <x:c r="C93" s="9" t="str">
        <x:v>Unity and diversity</x:v>
      </x:c>
      <x:c r="D93" s="9" t="str">
        <x:v>Classification and cladistics</x:v>
      </x:c>
      <x:c r="E93" s="9" t="str">
        <x:v>HL</x:v>
      </x:c>
      <x:c r="F93" s="9" t="str">
        <x:v>Taxon</x:v>
      </x:c>
      <x:c r="G93" s="9" t="str">
        <x:v>A named group of organisms at any rank in a classification system.</x:v>
      </x:c>
      <x:c r="H93" s="9" t="str">
        <x:v>OpenStax Biology 2e, 20.2 Determining Evolutionary Relationships</x:v>
      </x:c>
      <x:c r="I93" s="9" t="str">
        <x:v>https://openstax.org/books/biology-2e/pages/20-2-determining-evolutionary-relationships</x:v>
      </x:c>
      <x:c r="J93" s="9" t="str">
        <x:v>Verified</x:v>
      </x:c>
    </x:row>
    <x:row r="94" ht="42" customHeight="1">
      <x:c r="A94" s="8" t="str">
        <x:v>A3.2-03</x:v>
      </x:c>
      <x:c r="B94" s="8" t="str">
        <x:v>A3.2</x:v>
      </x:c>
      <x:c r="C94" s="9" t="str">
        <x:v>Unity and diversity</x:v>
      </x:c>
      <x:c r="D94" s="9" t="str">
        <x:v>Classification and cladistics</x:v>
      </x:c>
      <x:c r="E94" s="9" t="str">
        <x:v>HL</x:v>
      </x:c>
      <x:c r="F94" s="9" t="str">
        <x:v>Clade (monophyletic group)</x:v>
      </x:c>
      <x:c r="G94" s="9" t="str">
        <x:v>A common ancestor together with all of its descendants.</x:v>
      </x:c>
      <x:c r="H94" s="9" t="str">
        <x:v>OpenStax Biology 2e, 20.2 Determining Evolutionary Relationships</x:v>
      </x:c>
      <x:c r="I94" s="9" t="str">
        <x:v>https://openstax.org/books/biology-2e/pages/20-2-determining-evolutionary-relationships</x:v>
      </x:c>
      <x:c r="J94" s="9" t="str">
        <x:v>Verified</x:v>
      </x:c>
    </x:row>
    <x:row r="95" ht="42" customHeight="1">
      <x:c r="A95" s="8" t="str">
        <x:v>A3.2-04</x:v>
      </x:c>
      <x:c r="B95" s="8" t="str">
        <x:v>A3.2</x:v>
      </x:c>
      <x:c r="C95" s="9" t="str">
        <x:v>Unity and diversity</x:v>
      </x:c>
      <x:c r="D95" s="9" t="str">
        <x:v>Classification and cladistics</x:v>
      </x:c>
      <x:c r="E95" s="9" t="str">
        <x:v>HL</x:v>
      </x:c>
      <x:c r="F95" s="9" t="str">
        <x:v>Cladogram</x:v>
      </x:c>
      <x:c r="G95" s="9" t="str">
        <x:v>A branching diagram representing hypothesized relationships based on shared derived characteristics.</x:v>
      </x:c>
      <x:c r="H95" s="9" t="str">
        <x:v>OpenStax Biology 2e, 20.2 Determining Evolutionary Relationships</x:v>
      </x:c>
      <x:c r="I95" s="9" t="str">
        <x:v>https://openstax.org/books/biology-2e/pages/20-2-determining-evolutionary-relationships</x:v>
      </x:c>
      <x:c r="J95" s="9" t="str">
        <x:v>Verified</x:v>
      </x:c>
    </x:row>
    <x:row r="96" ht="42" customHeight="1">
      <x:c r="A96" s="8" t="str">
        <x:v>A3.2-05</x:v>
      </x:c>
      <x:c r="B96" s="8" t="str">
        <x:v>A3.2</x:v>
      </x:c>
      <x:c r="C96" s="9" t="str">
        <x:v>Unity and diversity</x:v>
      </x:c>
      <x:c r="D96" s="9" t="str">
        <x:v>Classification and cladistics</x:v>
      </x:c>
      <x:c r="E96" s="9" t="str">
        <x:v>HL</x:v>
      </x:c>
      <x:c r="F96" s="9" t="str">
        <x:v>Node</x:v>
      </x:c>
      <x:c r="G96" s="9" t="str">
        <x:v>A branch point on a phylogenetic tree representing a common ancestor or lineage split.</x:v>
      </x:c>
      <x:c r="H96" s="9" t="str">
        <x:v>OpenStax Biology 2e, 20.2 Determining Evolutionary Relationships</x:v>
      </x:c>
      <x:c r="I96" s="9" t="str">
        <x:v>https://openstax.org/books/biology-2e/pages/20-2-determining-evolutionary-relationships</x:v>
      </x:c>
      <x:c r="J96" s="9" t="str">
        <x:v>Verified</x:v>
      </x:c>
    </x:row>
    <x:row r="97" ht="42" customHeight="1">
      <x:c r="A97" s="8" t="str">
        <x:v>A3.2-06</x:v>
      </x:c>
      <x:c r="B97" s="8" t="str">
        <x:v>A3.2</x:v>
      </x:c>
      <x:c r="C97" s="9" t="str">
        <x:v>Unity and diversity</x:v>
      </x:c>
      <x:c r="D97" s="9" t="str">
        <x:v>Classification and cladistics</x:v>
      </x:c>
      <x:c r="E97" s="9" t="str">
        <x:v>HL</x:v>
      </x:c>
      <x:c r="F97" s="9" t="str">
        <x:v>Synapomorphy</x:v>
      </x:c>
      <x:c r="G97" s="9" t="str">
        <x:v>A shared derived characteristic used as evidence that taxa belong to the same clade.</x:v>
      </x:c>
      <x:c r="H97" s="9" t="str">
        <x:v>OpenStax Biology 2e, 20.2 Determining Evolutionary Relationships</x:v>
      </x:c>
      <x:c r="I97" s="9" t="str">
        <x:v>https://openstax.org/books/biology-2e/pages/20-2-determining-evolutionary-relationships</x:v>
      </x:c>
      <x:c r="J97" s="9" t="str">
        <x:v>Verified</x:v>
      </x:c>
    </x:row>
    <x:row r="98" ht="42" customHeight="1">
      <x:c r="A98" s="8" t="str">
        <x:v>A3.2-07</x:v>
      </x:c>
      <x:c r="B98" s="8" t="str">
        <x:v>A3.2</x:v>
      </x:c>
      <x:c r="C98" s="9" t="str">
        <x:v>Unity and diversity</x:v>
      </x:c>
      <x:c r="D98" s="9" t="str">
        <x:v>Classification and cladistics</x:v>
      </x:c>
      <x:c r="E98" s="9" t="str">
        <x:v>HL</x:v>
      </x:c>
      <x:c r="F98" s="9" t="str">
        <x:v>Outgroup</x:v>
      </x:c>
      <x:c r="G98" s="9" t="str">
        <x:v>A comparison taxon outside the group being studied, used to identify ancestral character states.</x:v>
      </x:c>
      <x:c r="H98" s="9" t="str">
        <x:v>OpenStax Biology 2e, 20.2 Determining Evolutionary Relationships</x:v>
      </x:c>
      <x:c r="I98" s="9" t="str">
        <x:v>https://openstax.org/books/biology-2e/pages/20-2-determining-evolutionary-relationships</x:v>
      </x:c>
      <x:c r="J98" s="9" t="str">
        <x:v>Verified</x:v>
      </x:c>
    </x:row>
    <x:row r="99" ht="42" customHeight="1">
      <x:c r="A99" s="8" t="str">
        <x:v>A3.2-08</x:v>
      </x:c>
      <x:c r="B99" s="8" t="str">
        <x:v>A3.2</x:v>
      </x:c>
      <x:c r="C99" s="9" t="str">
        <x:v>Unity and diversity</x:v>
      </x:c>
      <x:c r="D99" s="9" t="str">
        <x:v>Classification and cladistics</x:v>
      </x:c>
      <x:c r="E99" s="9" t="str">
        <x:v>HL</x:v>
      </x:c>
      <x:c r="F99" s="9" t="str">
        <x:v>Paraphyletic group</x:v>
      </x:c>
      <x:c r="G99" s="9" t="str">
        <x:v>A grouping that contains an ancestor but excludes one or more descendant lineages.</x:v>
      </x:c>
      <x:c r="H99" s="9" t="str">
        <x:v>OpenStax Biology 2e, 20.2 Determining Evolutionary Relationships</x:v>
      </x:c>
      <x:c r="I99" s="9" t="str">
        <x:v>https://openstax.org/books/biology-2e/pages/20-2-determining-evolutionary-relationships</x:v>
      </x:c>
      <x:c r="J99" s="9" t="str">
        <x:v>Verified</x:v>
      </x:c>
    </x:row>
    <x:row r="100" ht="42" customHeight="1">
      <x:c r="A100" s="8" t="str">
        <x:v>A3.2-09</x:v>
      </x:c>
      <x:c r="B100" s="8" t="str">
        <x:v>A3.2</x:v>
      </x:c>
      <x:c r="C100" s="9" t="str">
        <x:v>Unity and diversity</x:v>
      </x:c>
      <x:c r="D100" s="9" t="str">
        <x:v>Classification and cladistics</x:v>
      </x:c>
      <x:c r="E100" s="9" t="str">
        <x:v>HL</x:v>
      </x:c>
      <x:c r="F100" s="9" t="str">
        <x:v>Polyphyletic group</x:v>
      </x:c>
      <x:c r="G100" s="9" t="str">
        <x:v>A grouping assembled from separate lineages while excluding their most recent common ancestor.</x:v>
      </x:c>
      <x:c r="H100" s="9" t="str">
        <x:v>OpenStax Biology 2e, 20.2 Determining Evolutionary Relationships</x:v>
      </x:c>
      <x:c r="I100" s="9" t="str">
        <x:v>https://openstax.org/books/biology-2e/pages/20-2-determining-evolutionary-relationships</x:v>
      </x:c>
      <x:c r="J100" s="9" t="str">
        <x:v>Verified</x:v>
      </x:c>
    </x:row>
    <x:row r="101" ht="42" customHeight="1">
      <x:c r="A101" s="8" t="str">
        <x:v>A3.2-10</x:v>
      </x:c>
      <x:c r="B101" s="8" t="str">
        <x:v>A3.2</x:v>
      </x:c>
      <x:c r="C101" s="9" t="str">
        <x:v>Unity and diversity</x:v>
      </x:c>
      <x:c r="D101" s="9" t="str">
        <x:v>Classification and cladistics</x:v>
      </x:c>
      <x:c r="E101" s="9" t="str">
        <x:v>HL</x:v>
      </x:c>
      <x:c r="F101" s="9" t="str">
        <x:v>Molecular clock</x:v>
      </x:c>
      <x:c r="G101" s="9" t="str">
        <x:v>A method that estimates divergence time from an assumed rate of sequence change.</x:v>
      </x:c>
      <x:c r="H101" s="9" t="str">
        <x:v>OpenStax Biology 2e, 20.2 Determining Evolutionary Relationships</x:v>
      </x:c>
      <x:c r="I101" s="9" t="str">
        <x:v>https://openstax.org/books/biology-2e/pages/20-2-determining-evolutionary-relationships</x:v>
      </x:c>
      <x:c r="J101" s="9" t="str">
        <x:v>Verified</x:v>
      </x:c>
    </x:row>
    <x:row r="102" ht="42" customHeight="1">
      <x:c r="A102" s="8" t="str">
        <x:v>A3.2-11</x:v>
      </x:c>
      <x:c r="B102" s="8" t="str">
        <x:v>A3.2</x:v>
      </x:c>
      <x:c r="C102" s="9" t="str">
        <x:v>Unity and diversity</x:v>
      </x:c>
      <x:c r="D102" s="9" t="str">
        <x:v>Classification and cladistics</x:v>
      </x:c>
      <x:c r="E102" s="9" t="str">
        <x:v>HL</x:v>
      </x:c>
      <x:c r="F102" s="9" t="str">
        <x:v>Sequence alignment</x:v>
      </x:c>
      <x:c r="G102" s="9" t="str">
        <x:v>Arrangement of DNA, RNA, or protein sequences to identify corresponding positions and differences.</x:v>
      </x:c>
      <x:c r="H102" s="9" t="str">
        <x:v>OpenStax Biology 2e, 20.2 Determining Evolutionary Relationships</x:v>
      </x:c>
      <x:c r="I102" s="9" t="str">
        <x:v>https://openstax.org/books/biology-2e/pages/20-2-determining-evolutionary-relationships</x:v>
      </x:c>
      <x:c r="J102" s="9" t="str">
        <x:v>Verified</x:v>
      </x:c>
    </x:row>
    <x:row r="103" ht="42" customHeight="1">
      <x:c r="A103" s="8" t="str">
        <x:v>A3.2-12</x:v>
      </x:c>
      <x:c r="B103" s="8" t="str">
        <x:v>A3.2</x:v>
      </x:c>
      <x:c r="C103" s="9" t="str">
        <x:v>Unity and diversity</x:v>
      </x:c>
      <x:c r="D103" s="9" t="str">
        <x:v>Classification and cladistics</x:v>
      </x:c>
      <x:c r="E103" s="9" t="str">
        <x:v>HL</x:v>
      </x:c>
      <x:c r="F103" s="9" t="str">
        <x:v>Maximum parsimony</x:v>
      </x:c>
      <x:c r="G103" s="9" t="str">
        <x:v>The criterion favoring the phylogenetic explanation requiring the fewest evolutionary changes.</x:v>
      </x:c>
      <x:c r="H103" s="9" t="str">
        <x:v>OpenStax Biology 2e, 20.2 Determining Evolutionary Relationships</x:v>
      </x:c>
      <x:c r="I103" s="9" t="str">
        <x:v>https://openstax.org/books/biology-2e/pages/20-2-determining-evolutionary-relationships</x:v>
      </x:c>
      <x:c r="J103" s="9" t="str">
        <x:v>Verified</x:v>
      </x:c>
    </x:row>
    <x:row r="104" ht="42" customHeight="1">
      <x:c r="A104" s="8" t="str">
        <x:v>A3.2-13</x:v>
      </x:c>
      <x:c r="B104" s="8" t="str">
        <x:v>A3.2</x:v>
      </x:c>
      <x:c r="C104" s="9" t="str">
        <x:v>Unity and diversity</x:v>
      </x:c>
      <x:c r="D104" s="9" t="str">
        <x:v>Classification and cladistics</x:v>
      </x:c>
      <x:c r="E104" s="9" t="str">
        <x:v>HL</x:v>
      </x:c>
      <x:c r="F104" s="9" t="str">
        <x:v>Phylogeny</x:v>
      </x:c>
      <x:c r="G104" s="9" t="str">
        <x:v>The evolutionary history and relationships of a species or group of species.</x:v>
      </x:c>
      <x:c r="H104" s="9" t="str">
        <x:v>OpenStax Biology 2e, 20.2 Determining Evolutionary Relationships</x:v>
      </x:c>
      <x:c r="I104" s="9" t="str">
        <x:v>https://openstax.org/books/biology-2e/pages/20-2-determining-evolutionary-relationships</x:v>
      </x:c>
      <x:c r="J104" s="9" t="str">
        <x:v>Verified</x:v>
      </x:c>
    </x:row>
    <x:row r="105" ht="42" customHeight="1">
      <x:c r="A105" s="8" t="str">
        <x:v>A3.2-14</x:v>
      </x:c>
      <x:c r="B105" s="8" t="str">
        <x:v>A3.2</x:v>
      </x:c>
      <x:c r="C105" s="9" t="str">
        <x:v>Unity and diversity</x:v>
      </x:c>
      <x:c r="D105" s="9" t="str">
        <x:v>Classification and cladistics</x:v>
      </x:c>
      <x:c r="E105" s="9" t="str">
        <x:v>HL</x:v>
      </x:c>
      <x:c r="F105" s="9" t="str">
        <x:v>Sister taxa</x:v>
      </x:c>
      <x:c r="G105" s="9" t="str">
        <x:v>Two lineages that share an immediate common ancestor not shared with any other lineage.</x:v>
      </x:c>
      <x:c r="H105" s="9" t="str">
        <x:v>OpenStax Biology 2e, 20.2 Determining Evolutionary Relationships</x:v>
      </x:c>
      <x:c r="I105" s="9" t="str">
        <x:v>https://openstax.org/books/biology-2e/pages/20-2-determining-evolutionary-relationships</x:v>
      </x:c>
      <x:c r="J105" s="9" t="str">
        <x:v>Verified</x:v>
      </x:c>
    </x:row>
    <x:row r="106" ht="42" customHeight="1">
      <x:c r="A106" s="8" t="str">
        <x:v>A4.1-01</x:v>
      </x:c>
      <x:c r="B106" s="8" t="str">
        <x:v>A4.1</x:v>
      </x:c>
      <x:c r="C106" s="9" t="str">
        <x:v>Unity and diversity</x:v>
      </x:c>
      <x:c r="D106" s="9" t="str">
        <x:v>Evolution and speciation</x:v>
      </x:c>
      <x:c r="E106" s="9" t="str">
        <x:v>SL/HL</x:v>
      </x:c>
      <x:c r="F106" s="9" t="str">
        <x:v>Evolution</x:v>
      </x:c>
      <x:c r="G106" s="9" t="str">
        <x:v>Change in the inherited characteristics of populations across generations.</x:v>
      </x:c>
      <x:c r="H106" s="9" t="str">
        <x:v>OpenStax Biology 2e, 18.1 Understanding Evolution</x:v>
      </x:c>
      <x:c r="I106" s="9" t="str">
        <x:v>https://openstax.org/books/biology-2e/pages/18-1-understanding-evolution</x:v>
      </x:c>
      <x:c r="J106" s="9" t="str">
        <x:v>Verified</x:v>
      </x:c>
    </x:row>
    <x:row r="107" ht="42" customHeight="1">
      <x:c r="A107" s="8" t="str">
        <x:v>A4.1-02</x:v>
      </x:c>
      <x:c r="B107" s="8" t="str">
        <x:v>A4.1</x:v>
      </x:c>
      <x:c r="C107" s="9" t="str">
        <x:v>Unity and diversity</x:v>
      </x:c>
      <x:c r="D107" s="9" t="str">
        <x:v>Evolution and speciation</x:v>
      </x:c>
      <x:c r="E107" s="9" t="str">
        <x:v>SL/HL</x:v>
      </x:c>
      <x:c r="F107" s="9" t="str">
        <x:v>Allele frequency</x:v>
      </x:c>
      <x:c r="G107" s="9" t="str">
        <x:v>The proportion of all copies of a gene in a population represented by a particular allele.</x:v>
      </x:c>
      <x:c r="H107" s="9" t="str">
        <x:v>OpenStax Biology 2e, 18.1 Understanding Evolution</x:v>
      </x:c>
      <x:c r="I107" s="9" t="str">
        <x:v>https://openstax.org/books/biology-2e/pages/18-1-understanding-evolution</x:v>
      </x:c>
      <x:c r="J107" s="9" t="str">
        <x:v>Verified</x:v>
      </x:c>
    </x:row>
    <x:row r="108" ht="42" customHeight="1">
      <x:c r="A108" s="8" t="str">
        <x:v>A4.1-03</x:v>
      </x:c>
      <x:c r="B108" s="8" t="str">
        <x:v>A4.1</x:v>
      </x:c>
      <x:c r="C108" s="9" t="str">
        <x:v>Unity and diversity</x:v>
      </x:c>
      <x:c r="D108" s="9" t="str">
        <x:v>Evolution and speciation</x:v>
      </x:c>
      <x:c r="E108" s="9" t="str">
        <x:v>SL/HL</x:v>
      </x:c>
      <x:c r="F108" s="9" t="str">
        <x:v>Gene pool</x:v>
      </x:c>
      <x:c r="G108" s="9" t="str">
        <x:v>All alleles present in the reproductive members of a population at a given time.</x:v>
      </x:c>
      <x:c r="H108" s="9" t="str">
        <x:v>OpenStax Biology 2e, 18.1 Understanding Evolution</x:v>
      </x:c>
      <x:c r="I108" s="9" t="str">
        <x:v>https://openstax.org/books/biology-2e/pages/18-1-understanding-evolution</x:v>
      </x:c>
      <x:c r="J108" s="9" t="str">
        <x:v>Verified</x:v>
      </x:c>
    </x:row>
    <x:row r="109" ht="42" customHeight="1">
      <x:c r="A109" s="8" t="str">
        <x:v>A4.1-04</x:v>
      </x:c>
      <x:c r="B109" s="8" t="str">
        <x:v>A4.1</x:v>
      </x:c>
      <x:c r="C109" s="9" t="str">
        <x:v>Unity and diversity</x:v>
      </x:c>
      <x:c r="D109" s="9" t="str">
        <x:v>Evolution and speciation</x:v>
      </x:c>
      <x:c r="E109" s="9" t="str">
        <x:v>SL/HL</x:v>
      </x:c>
      <x:c r="F109" s="9" t="str">
        <x:v>Microevolution</x:v>
      </x:c>
      <x:c r="G109" s="9" t="str">
        <x:v>A change in allele frequencies within a population over relatively short evolutionary time.</x:v>
      </x:c>
      <x:c r="H109" s="9" t="str">
        <x:v>OpenStax Biology 2e, 18.1 Understanding Evolution</x:v>
      </x:c>
      <x:c r="I109" s="9" t="str">
        <x:v>https://openstax.org/books/biology-2e/pages/18-1-understanding-evolution</x:v>
      </x:c>
      <x:c r="J109" s="9" t="str">
        <x:v>Verified</x:v>
      </x:c>
    </x:row>
    <x:row r="110" ht="42" customHeight="1">
      <x:c r="A110" s="8" t="str">
        <x:v>A4.1-05</x:v>
      </x:c>
      <x:c r="B110" s="8" t="str">
        <x:v>A4.1</x:v>
      </x:c>
      <x:c r="C110" s="9" t="str">
        <x:v>Unity and diversity</x:v>
      </x:c>
      <x:c r="D110" s="9" t="str">
        <x:v>Evolution and speciation</x:v>
      </x:c>
      <x:c r="E110" s="9" t="str">
        <x:v>SL/HL</x:v>
      </x:c>
      <x:c r="F110" s="9" t="str">
        <x:v>Speciation</x:v>
      </x:c>
      <x:c r="G110" s="9" t="str">
        <x:v>The evolutionary formation of new species through divergence and reproductive isolation.</x:v>
      </x:c>
      <x:c r="H110" s="9" t="str">
        <x:v>OpenStax Biology 2e, 18.1 Understanding Evolution</x:v>
      </x:c>
      <x:c r="I110" s="9" t="str">
        <x:v>https://openstax.org/books/biology-2e/pages/18-1-understanding-evolution</x:v>
      </x:c>
      <x:c r="J110" s="9" t="str">
        <x:v>Verified</x:v>
      </x:c>
    </x:row>
    <x:row r="111" ht="42" customHeight="1">
      <x:c r="A111" s="8" t="str">
        <x:v>A4.1-06</x:v>
      </x:c>
      <x:c r="B111" s="8" t="str">
        <x:v>A4.1</x:v>
      </x:c>
      <x:c r="C111" s="9" t="str">
        <x:v>Unity and diversity</x:v>
      </x:c>
      <x:c r="D111" s="9" t="str">
        <x:v>Evolution and speciation</x:v>
      </x:c>
      <x:c r="E111" s="9" t="str">
        <x:v>SL/HL</x:v>
      </x:c>
      <x:c r="F111" s="9" t="str">
        <x:v>Reproductive isolation</x:v>
      </x:c>
      <x:c r="G111" s="9" t="str">
        <x:v>Barriers that prevent gene flow between populations by stopping mating or fertile offspring production.</x:v>
      </x:c>
      <x:c r="H111" s="9" t="str">
        <x:v>OpenStax Biology 2e, 18.1 Understanding Evolution</x:v>
      </x:c>
      <x:c r="I111" s="9" t="str">
        <x:v>https://openstax.org/books/biology-2e/pages/18-1-understanding-evolution</x:v>
      </x:c>
      <x:c r="J111" s="9" t="str">
        <x:v>Verified</x:v>
      </x:c>
    </x:row>
    <x:row r="112" ht="42" customHeight="1">
      <x:c r="A112" s="8" t="str">
        <x:v>A4.1-07</x:v>
      </x:c>
      <x:c r="B112" s="8" t="str">
        <x:v>A4.1</x:v>
      </x:c>
      <x:c r="C112" s="9" t="str">
        <x:v>Unity and diversity</x:v>
      </x:c>
      <x:c r="D112" s="9" t="str">
        <x:v>Evolution and speciation</x:v>
      </x:c>
      <x:c r="E112" s="9" t="str">
        <x:v>SL/HL</x:v>
      </x:c>
      <x:c r="F112" s="9" t="str">
        <x:v>Prezygotic barrier</x:v>
      </x:c>
      <x:c r="G112" s="9" t="str">
        <x:v>A reproductive obstacle that prevents mating or fertilization before a zygote forms.</x:v>
      </x:c>
      <x:c r="H112" s="9" t="str">
        <x:v>OpenStax Biology 2e, 18.1 Understanding Evolution</x:v>
      </x:c>
      <x:c r="I112" s="9" t="str">
        <x:v>https://openstax.org/books/biology-2e/pages/18-1-understanding-evolution</x:v>
      </x:c>
      <x:c r="J112" s="9" t="str">
        <x:v>Verified</x:v>
      </x:c>
    </x:row>
    <x:row r="113" ht="42" customHeight="1">
      <x:c r="A113" s="8" t="str">
        <x:v>A4.1-08</x:v>
      </x:c>
      <x:c r="B113" s="8" t="str">
        <x:v>A4.1</x:v>
      </x:c>
      <x:c r="C113" s="9" t="str">
        <x:v>Unity and diversity</x:v>
      </x:c>
      <x:c r="D113" s="9" t="str">
        <x:v>Evolution and speciation</x:v>
      </x:c>
      <x:c r="E113" s="9" t="str">
        <x:v>SL/HL</x:v>
      </x:c>
      <x:c r="F113" s="9" t="str">
        <x:v>Postzygotic barrier</x:v>
      </x:c>
      <x:c r="G113" s="9" t="str">
        <x:v>A reproductive obstacle that reduces the survival or fertility of hybrid offspring after fertilization.</x:v>
      </x:c>
      <x:c r="H113" s="9" t="str">
        <x:v>OpenStax Biology 2e, 18.1 Understanding Evolution</x:v>
      </x:c>
      <x:c r="I113" s="9" t="str">
        <x:v>https://openstax.org/books/biology-2e/pages/18-1-understanding-evolution</x:v>
      </x:c>
      <x:c r="J113" s="9" t="str">
        <x:v>Verified</x:v>
      </x:c>
    </x:row>
    <x:row r="114" ht="42" customHeight="1">
      <x:c r="A114" s="8" t="str">
        <x:v>A4.1-09</x:v>
      </x:c>
      <x:c r="B114" s="8" t="str">
        <x:v>A4.1</x:v>
      </x:c>
      <x:c r="C114" s="9" t="str">
        <x:v>Unity and diversity</x:v>
      </x:c>
      <x:c r="D114" s="9" t="str">
        <x:v>Evolution and speciation</x:v>
      </x:c>
      <x:c r="E114" s="9" t="str">
        <x:v>SL/HL</x:v>
      </x:c>
      <x:c r="F114" s="9" t="str">
        <x:v>Allopatric speciation</x:v>
      </x:c>
      <x:c r="G114" s="9" t="str">
        <x:v>Formation of species after geographic separation interrupts gene flow between populations.</x:v>
      </x:c>
      <x:c r="H114" s="9" t="str">
        <x:v>OpenStax Biology 2e, 18.1 Understanding Evolution</x:v>
      </x:c>
      <x:c r="I114" s="9" t="str">
        <x:v>https://openstax.org/books/biology-2e/pages/18-1-understanding-evolution</x:v>
      </x:c>
      <x:c r="J114" s="9" t="str">
        <x:v>Verified</x:v>
      </x:c>
    </x:row>
    <x:row r="115" ht="42" customHeight="1">
      <x:c r="A115" s="8" t="str">
        <x:v>A4.1-10</x:v>
      </x:c>
      <x:c r="B115" s="8" t="str">
        <x:v>A4.1</x:v>
      </x:c>
      <x:c r="C115" s="9" t="str">
        <x:v>Unity and diversity</x:v>
      </x:c>
      <x:c r="D115" s="9" t="str">
        <x:v>Evolution and speciation</x:v>
      </x:c>
      <x:c r="E115" s="9" t="str">
        <x:v>SL/HL</x:v>
      </x:c>
      <x:c r="F115" s="9" t="str">
        <x:v>Sympatric speciation</x:v>
      </x:c>
      <x:c r="G115" s="9" t="str">
        <x:v>Formation of species without geographic separation, often through ecological or chromosomal isolation.</x:v>
      </x:c>
      <x:c r="H115" s="9" t="str">
        <x:v>OpenStax Biology 2e, 18.1 Understanding Evolution</x:v>
      </x:c>
      <x:c r="I115" s="9" t="str">
        <x:v>https://openstax.org/books/biology-2e/pages/18-1-understanding-evolution</x:v>
      </x:c>
      <x:c r="J115" s="9" t="str">
        <x:v>Verified</x:v>
      </x:c>
    </x:row>
    <x:row r="116" ht="42" customHeight="1">
      <x:c r="A116" s="8" t="str">
        <x:v>A4.1-11</x:v>
      </x:c>
      <x:c r="B116" s="8" t="str">
        <x:v>A4.1</x:v>
      </x:c>
      <x:c r="C116" s="9" t="str">
        <x:v>Unity and diversity</x:v>
      </x:c>
      <x:c r="D116" s="9" t="str">
        <x:v>Evolution and speciation</x:v>
      </x:c>
      <x:c r="E116" s="9" t="str">
        <x:v>SL/HL</x:v>
      </x:c>
      <x:c r="F116" s="9" t="str">
        <x:v>Adaptive radiation</x:v>
      </x:c>
      <x:c r="G116" s="9" t="str">
        <x:v>Rapid diversification of one ancestral lineage into species adapted to different ecological roles.</x:v>
      </x:c>
      <x:c r="H116" s="9" t="str">
        <x:v>OpenStax Biology 2e, 18.1 Understanding Evolution</x:v>
      </x:c>
      <x:c r="I116" s="9" t="str">
        <x:v>https://openstax.org/books/biology-2e/pages/18-1-understanding-evolution</x:v>
      </x:c>
      <x:c r="J116" s="9" t="str">
        <x:v>Verified</x:v>
      </x:c>
    </x:row>
    <x:row r="117" ht="42" customHeight="1">
      <x:c r="A117" s="8" t="str">
        <x:v>A4.1-12</x:v>
      </x:c>
      <x:c r="B117" s="8" t="str">
        <x:v>A4.1</x:v>
      </x:c>
      <x:c r="C117" s="9" t="str">
        <x:v>Unity and diversity</x:v>
      </x:c>
      <x:c r="D117" s="9" t="str">
        <x:v>Evolution and speciation</x:v>
      </x:c>
      <x:c r="E117" s="9" t="str">
        <x:v>SL/HL</x:v>
      </x:c>
      <x:c r="F117" s="9" t="str">
        <x:v>Divergent evolution</x:v>
      </x:c>
      <x:c r="G117" s="9" t="str">
        <x:v>Accumulation of differences between related lineages exposed to different selection pressures.</x:v>
      </x:c>
      <x:c r="H117" s="9" t="str">
        <x:v>OpenStax Biology 2e, 18.1 Understanding Evolution</x:v>
      </x:c>
      <x:c r="I117" s="9" t="str">
        <x:v>https://openstax.org/books/biology-2e/pages/18-1-understanding-evolution</x:v>
      </x:c>
      <x:c r="J117" s="9" t="str">
        <x:v>Verified</x:v>
      </x:c>
    </x:row>
    <x:row r="118" ht="42" customHeight="1">
      <x:c r="A118" s="8" t="str">
        <x:v>A4.1-13</x:v>
      </x:c>
      <x:c r="B118" s="8" t="str">
        <x:v>A4.1</x:v>
      </x:c>
      <x:c r="C118" s="9" t="str">
        <x:v>Unity and diversity</x:v>
      </x:c>
      <x:c r="D118" s="9" t="str">
        <x:v>Evolution and speciation</x:v>
      </x:c>
      <x:c r="E118" s="9" t="str">
        <x:v>SL/HL</x:v>
      </x:c>
      <x:c r="F118" s="9" t="str">
        <x:v>Convergent evolution</x:v>
      </x:c>
      <x:c r="G118" s="9" t="str">
        <x:v>Independent evolution of similar features in distantly related lineages under similar selection pressures.</x:v>
      </x:c>
      <x:c r="H118" s="9" t="str">
        <x:v>OpenStax Biology 2e, 18.1 Understanding Evolution</x:v>
      </x:c>
      <x:c r="I118" s="9" t="str">
        <x:v>https://openstax.org/books/biology-2e/pages/18-1-understanding-evolution</x:v>
      </x:c>
      <x:c r="J118" s="9" t="str">
        <x:v>Verified</x:v>
      </x:c>
    </x:row>
    <x:row r="119" ht="42" customHeight="1">
      <x:c r="A119" s="8" t="str">
        <x:v>A4.1-14</x:v>
      </x:c>
      <x:c r="B119" s="8" t="str">
        <x:v>A4.1</x:v>
      </x:c>
      <x:c r="C119" s="9" t="str">
        <x:v>Unity and diversity</x:v>
      </x:c>
      <x:c r="D119" s="9" t="str">
        <x:v>Evolution and speciation</x:v>
      </x:c>
      <x:c r="E119" s="9" t="str">
        <x:v>SL/HL</x:v>
      </x:c>
      <x:c r="F119" s="9" t="str">
        <x:v>Homologous structure</x:v>
      </x:c>
      <x:c r="G119" s="9" t="str">
        <x:v>A feature shared because of common ancestry, even if its current functions differ.</x:v>
      </x:c>
      <x:c r="H119" s="9" t="str">
        <x:v>OpenStax Biology 2e, 18.1 Understanding Evolution</x:v>
      </x:c>
      <x:c r="I119" s="9" t="str">
        <x:v>https://openstax.org/books/biology-2e/pages/18-1-understanding-evolution</x:v>
      </x:c>
      <x:c r="J119" s="9" t="str">
        <x:v>Verified</x:v>
      </x:c>
    </x:row>
    <x:row r="120" ht="42" customHeight="1">
      <x:c r="A120" s="8" t="str">
        <x:v>A4.1-15</x:v>
      </x:c>
      <x:c r="B120" s="8" t="str">
        <x:v>A4.1</x:v>
      </x:c>
      <x:c r="C120" s="9" t="str">
        <x:v>Unity and diversity</x:v>
      </x:c>
      <x:c r="D120" s="9" t="str">
        <x:v>Evolution and speciation</x:v>
      </x:c>
      <x:c r="E120" s="9" t="str">
        <x:v>SL/HL</x:v>
      </x:c>
      <x:c r="F120" s="9" t="str">
        <x:v>Analogous structure</x:v>
      </x:c>
      <x:c r="G120" s="9" t="str">
        <x:v>A feature with a similar function in different lineages but an independent evolutionary origin.</x:v>
      </x:c>
      <x:c r="H120" s="9" t="str">
        <x:v>OpenStax Biology 2e, 18.1 Understanding Evolution</x:v>
      </x:c>
      <x:c r="I120" s="9" t="str">
        <x:v>https://openstax.org/books/biology-2e/pages/18-1-understanding-evolution</x:v>
      </x:c>
      <x:c r="J120" s="9" t="str">
        <x:v>Verified</x:v>
      </x:c>
    </x:row>
    <x:row r="121" ht="42" customHeight="1">
      <x:c r="A121" s="8" t="str">
        <x:v>A4.2-01</x:v>
      </x:c>
      <x:c r="B121" s="8" t="str">
        <x:v>A4.2</x:v>
      </x:c>
      <x:c r="C121" s="9" t="str">
        <x:v>Unity and diversity</x:v>
      </x:c>
      <x:c r="D121" s="9" t="str">
        <x:v>Conservation of biodiversity</x:v>
      </x:c>
      <x:c r="E121" s="9" t="str">
        <x:v>SL/HL</x:v>
      </x:c>
      <x:c r="F121" s="9" t="str">
        <x:v>Biodiversity</x:v>
      </x:c>
      <x:c r="G121" s="9" t="str">
        <x:v>The variety of life at genetic, species, and ecosystem levels.</x:v>
      </x:c>
      <x:c r="H121" s="9" t="str">
        <x:v>IUCN Biodiversity</x:v>
      </x:c>
      <x:c r="I121" s="9" t="str">
        <x:v>https://iucn.org/our-work/biodiversity</x:v>
      </x:c>
      <x:c r="J121" s="9" t="str">
        <x:v>Verified</x:v>
      </x:c>
    </x:row>
    <x:row r="122" ht="42" customHeight="1">
      <x:c r="A122" s="8" t="str">
        <x:v>A4.2-02</x:v>
      </x:c>
      <x:c r="B122" s="8" t="str">
        <x:v>A4.2</x:v>
      </x:c>
      <x:c r="C122" s="9" t="str">
        <x:v>Unity and diversity</x:v>
      </x:c>
      <x:c r="D122" s="9" t="str">
        <x:v>Conservation of biodiversity</x:v>
      </x:c>
      <x:c r="E122" s="9" t="str">
        <x:v>SL/HL</x:v>
      </x:c>
      <x:c r="F122" s="9" t="str">
        <x:v>Genetic diversity</x:v>
      </x:c>
      <x:c r="G122" s="9" t="str">
        <x:v>Variation in alleles and genotypes within a species or population.</x:v>
      </x:c>
      <x:c r="H122" s="9" t="str">
        <x:v>IUCN Biodiversity</x:v>
      </x:c>
      <x:c r="I122" s="9" t="str">
        <x:v>https://iucn.org/our-work/biodiversity</x:v>
      </x:c>
      <x:c r="J122" s="9" t="str">
        <x:v>Verified</x:v>
      </x:c>
    </x:row>
    <x:row r="123" ht="42" customHeight="1">
      <x:c r="A123" s="8" t="str">
        <x:v>A4.2-03</x:v>
      </x:c>
      <x:c r="B123" s="8" t="str">
        <x:v>A4.2</x:v>
      </x:c>
      <x:c r="C123" s="9" t="str">
        <x:v>Unity and diversity</x:v>
      </x:c>
      <x:c r="D123" s="9" t="str">
        <x:v>Conservation of biodiversity</x:v>
      </x:c>
      <x:c r="E123" s="9" t="str">
        <x:v>SL/HL</x:v>
      </x:c>
      <x:c r="F123" s="9" t="str">
        <x:v>Species diversity</x:v>
      </x:c>
      <x:c r="G123" s="9" t="str">
        <x:v>The combined richness and relative abundance of species in a community.</x:v>
      </x:c>
      <x:c r="H123" s="9" t="str">
        <x:v>IUCN Biodiversity</x:v>
      </x:c>
      <x:c r="I123" s="9" t="str">
        <x:v>https://iucn.org/our-work/biodiversity</x:v>
      </x:c>
      <x:c r="J123" s="9" t="str">
        <x:v>Verified</x:v>
      </x:c>
    </x:row>
    <x:row r="124" ht="42" customHeight="1">
      <x:c r="A124" s="8" t="str">
        <x:v>A4.2-04</x:v>
      </x:c>
      <x:c r="B124" s="8" t="str">
        <x:v>A4.2</x:v>
      </x:c>
      <x:c r="C124" s="9" t="str">
        <x:v>Unity and diversity</x:v>
      </x:c>
      <x:c r="D124" s="9" t="str">
        <x:v>Conservation of biodiversity</x:v>
      </x:c>
      <x:c r="E124" s="9" t="str">
        <x:v>SL/HL</x:v>
      </x:c>
      <x:c r="F124" s="9" t="str">
        <x:v>Ecosystem diversity</x:v>
      </x:c>
      <x:c r="G124" s="9" t="str">
        <x:v>Variation among habitats, biological communities, and ecological processes within a region.</x:v>
      </x:c>
      <x:c r="H124" s="9" t="str">
        <x:v>IUCN Biodiversity</x:v>
      </x:c>
      <x:c r="I124" s="9" t="str">
        <x:v>https://iucn.org/our-work/biodiversity</x:v>
      </x:c>
      <x:c r="J124" s="9" t="str">
        <x:v>Verified</x:v>
      </x:c>
    </x:row>
    <x:row r="125" ht="42" customHeight="1">
      <x:c r="A125" s="8" t="str">
        <x:v>A4.2-05</x:v>
      </x:c>
      <x:c r="B125" s="8" t="str">
        <x:v>A4.2</x:v>
      </x:c>
      <x:c r="C125" s="9" t="str">
        <x:v>Unity and diversity</x:v>
      </x:c>
      <x:c r="D125" s="9" t="str">
        <x:v>Conservation of biodiversity</x:v>
      </x:c>
      <x:c r="E125" s="9" t="str">
        <x:v>SL/HL</x:v>
      </x:c>
      <x:c r="F125" s="9" t="str">
        <x:v>Endemic species</x:v>
      </x:c>
      <x:c r="G125" s="9" t="str">
        <x:v>A species naturally restricted to a particular geographic area.</x:v>
      </x:c>
      <x:c r="H125" s="9" t="str">
        <x:v>IUCN Biodiversity</x:v>
      </x:c>
      <x:c r="I125" s="9" t="str">
        <x:v>https://iucn.org/our-work/biodiversity</x:v>
      </x:c>
      <x:c r="J125" s="9" t="str">
        <x:v>Verified</x:v>
      </x:c>
    </x:row>
    <x:row r="126" ht="42" customHeight="1">
      <x:c r="A126" s="8" t="str">
        <x:v>A4.2-06</x:v>
      </x:c>
      <x:c r="B126" s="8" t="str">
        <x:v>A4.2</x:v>
      </x:c>
      <x:c r="C126" s="9" t="str">
        <x:v>Unity and diversity</x:v>
      </x:c>
      <x:c r="D126" s="9" t="str">
        <x:v>Conservation of biodiversity</x:v>
      </x:c>
      <x:c r="E126" s="9" t="str">
        <x:v>SL/HL</x:v>
      </x:c>
      <x:c r="F126" s="9" t="str">
        <x:v>Threatened species</x:v>
      </x:c>
      <x:c r="G126" s="9" t="str">
        <x:v>A species assessed as vulnerable, endangered, or critically endangered under the IUCN categories.</x:v>
      </x:c>
      <x:c r="H126" s="9" t="str">
        <x:v>IUCN Biodiversity</x:v>
      </x:c>
      <x:c r="I126" s="9" t="str">
        <x:v>https://iucn.org/our-work/biodiversity</x:v>
      </x:c>
      <x:c r="J126" s="9" t="str">
        <x:v>Verified</x:v>
      </x:c>
    </x:row>
    <x:row r="127" ht="42" customHeight="1">
      <x:c r="A127" s="8" t="str">
        <x:v>A4.2-07</x:v>
      </x:c>
      <x:c r="B127" s="8" t="str">
        <x:v>A4.2</x:v>
      </x:c>
      <x:c r="C127" s="9" t="str">
        <x:v>Unity and diversity</x:v>
      </x:c>
      <x:c r="D127" s="9" t="str">
        <x:v>Conservation of biodiversity</x:v>
      </x:c>
      <x:c r="E127" s="9" t="str">
        <x:v>SL/HL</x:v>
      </x:c>
      <x:c r="F127" s="9" t="str">
        <x:v>Extinction</x:v>
      </x:c>
      <x:c r="G127" s="9" t="str">
        <x:v>The permanent loss of a species when its final living individual dies.</x:v>
      </x:c>
      <x:c r="H127" s="9" t="str">
        <x:v>IUCN Biodiversity</x:v>
      </x:c>
      <x:c r="I127" s="9" t="str">
        <x:v>https://iucn.org/our-work/biodiversity</x:v>
      </x:c>
      <x:c r="J127" s="9" t="str">
        <x:v>Verified</x:v>
      </x:c>
    </x:row>
    <x:row r="128" ht="42" customHeight="1">
      <x:c r="A128" s="8" t="str">
        <x:v>A4.2-08</x:v>
      </x:c>
      <x:c r="B128" s="8" t="str">
        <x:v>A4.2</x:v>
      </x:c>
      <x:c r="C128" s="9" t="str">
        <x:v>Unity and diversity</x:v>
      </x:c>
      <x:c r="D128" s="9" t="str">
        <x:v>Conservation of biodiversity</x:v>
      </x:c>
      <x:c r="E128" s="9" t="str">
        <x:v>SL/HL</x:v>
      </x:c>
      <x:c r="F128" s="9" t="str">
        <x:v>In situ conservation</x:v>
      </x:c>
      <x:c r="G128" s="9" t="str">
        <x:v>Protection of species in their natural habitats and ecological communities.</x:v>
      </x:c>
      <x:c r="H128" s="9" t="str">
        <x:v>IUCN Biodiversity</x:v>
      </x:c>
      <x:c r="I128" s="9" t="str">
        <x:v>https://iucn.org/our-work/biodiversity</x:v>
      </x:c>
      <x:c r="J128" s="9" t="str">
        <x:v>Verified</x:v>
      </x:c>
    </x:row>
    <x:row r="129" ht="42" customHeight="1">
      <x:c r="A129" s="8" t="str">
        <x:v>A4.2-09</x:v>
      </x:c>
      <x:c r="B129" s="8" t="str">
        <x:v>A4.2</x:v>
      </x:c>
      <x:c r="C129" s="9" t="str">
        <x:v>Unity and diversity</x:v>
      </x:c>
      <x:c r="D129" s="9" t="str">
        <x:v>Conservation of biodiversity</x:v>
      </x:c>
      <x:c r="E129" s="9" t="str">
        <x:v>SL/HL</x:v>
      </x:c>
      <x:c r="F129" s="9" t="str">
        <x:v>Ex situ conservation</x:v>
      </x:c>
      <x:c r="G129" s="9" t="str">
        <x:v>Protection of biological diversity outside natural habitats, such as in seed banks or zoos.</x:v>
      </x:c>
      <x:c r="H129" s="9" t="str">
        <x:v>IUCN Biodiversity</x:v>
      </x:c>
      <x:c r="I129" s="9" t="str">
        <x:v>https://iucn.org/our-work/biodiversity</x:v>
      </x:c>
      <x:c r="J129" s="9" t="str">
        <x:v>Verified</x:v>
      </x:c>
    </x:row>
    <x:row r="130" ht="42" customHeight="1">
      <x:c r="A130" s="8" t="str">
        <x:v>A4.2-10</x:v>
      </x:c>
      <x:c r="B130" s="8" t="str">
        <x:v>A4.2</x:v>
      </x:c>
      <x:c r="C130" s="9" t="str">
        <x:v>Unity and diversity</x:v>
      </x:c>
      <x:c r="D130" s="9" t="str">
        <x:v>Conservation of biodiversity</x:v>
      </x:c>
      <x:c r="E130" s="9" t="str">
        <x:v>SL/HL</x:v>
      </x:c>
      <x:c r="F130" s="9" t="str">
        <x:v>Protected area</x:v>
      </x:c>
      <x:c r="G130" s="9" t="str">
        <x:v>A geographically defined region managed to achieve long-term conservation of nature.</x:v>
      </x:c>
      <x:c r="H130" s="9" t="str">
        <x:v>IUCN Biodiversity</x:v>
      </x:c>
      <x:c r="I130" s="9" t="str">
        <x:v>https://iucn.org/our-work/biodiversity</x:v>
      </x:c>
      <x:c r="J130" s="9" t="str">
        <x:v>Verified</x:v>
      </x:c>
    </x:row>
    <x:row r="131" ht="42" customHeight="1">
      <x:c r="A131" s="8" t="str">
        <x:v>A4.2-11</x:v>
      </x:c>
      <x:c r="B131" s="8" t="str">
        <x:v>A4.2</x:v>
      </x:c>
      <x:c r="C131" s="9" t="str">
        <x:v>Unity and diversity</x:v>
      </x:c>
      <x:c r="D131" s="9" t="str">
        <x:v>Conservation of biodiversity</x:v>
      </x:c>
      <x:c r="E131" s="9" t="str">
        <x:v>SL/HL</x:v>
      </x:c>
      <x:c r="F131" s="9" t="str">
        <x:v>Captive-breeding program</x:v>
      </x:c>
      <x:c r="G131" s="9" t="str">
        <x:v>Managed reproduction outside the wild intended to maintain genetic diversity and support recovery.</x:v>
      </x:c>
      <x:c r="H131" s="9" t="str">
        <x:v>IUCN Biodiversity</x:v>
      </x:c>
      <x:c r="I131" s="9" t="str">
        <x:v>https://iucn.org/our-work/biodiversity</x:v>
      </x:c>
      <x:c r="J131" s="9" t="str">
        <x:v>Verified</x:v>
      </x:c>
    </x:row>
    <x:row r="132" ht="42" customHeight="1">
      <x:c r="A132" s="8" t="str">
        <x:v>A4.2-12</x:v>
      </x:c>
      <x:c r="B132" s="8" t="str">
        <x:v>A4.2</x:v>
      </x:c>
      <x:c r="C132" s="9" t="str">
        <x:v>Unity and diversity</x:v>
      </x:c>
      <x:c r="D132" s="9" t="str">
        <x:v>Conservation of biodiversity</x:v>
      </x:c>
      <x:c r="E132" s="9" t="str">
        <x:v>SL/HL</x:v>
      </x:c>
      <x:c r="F132" s="9" t="str">
        <x:v>Seed bank</x:v>
      </x:c>
      <x:c r="G132" s="9" t="str">
        <x:v>A controlled collection that stores viable seeds to conserve plant genetic diversity.</x:v>
      </x:c>
      <x:c r="H132" s="9" t="str">
        <x:v>IUCN Biodiversity</x:v>
      </x:c>
      <x:c r="I132" s="9" t="str">
        <x:v>https://iucn.org/our-work/biodiversity</x:v>
      </x:c>
      <x:c r="J132" s="9" t="str">
        <x:v>Verified</x:v>
      </x:c>
    </x:row>
    <x:row r="133" ht="42" customHeight="1">
      <x:c r="A133" s="8" t="str">
        <x:v>A4.2-13</x:v>
      </x:c>
      <x:c r="B133" s="8" t="str">
        <x:v>A4.2</x:v>
      </x:c>
      <x:c r="C133" s="9" t="str">
        <x:v>Unity and diversity</x:v>
      </x:c>
      <x:c r="D133" s="9" t="str">
        <x:v>Conservation of biodiversity</x:v>
      </x:c>
      <x:c r="E133" s="9" t="str">
        <x:v>SL/HL</x:v>
      </x:c>
      <x:c r="F133" s="9" t="str">
        <x:v>Keystone species</x:v>
      </x:c>
      <x:c r="G133" s="9" t="str">
        <x:v>A species whose ecological effect is disproportionately large relative to its abundance.</x:v>
      </x:c>
      <x:c r="H133" s="9" t="str">
        <x:v>IUCN Biodiversity</x:v>
      </x:c>
      <x:c r="I133" s="9" t="str">
        <x:v>https://iucn.org/our-work/biodiversity</x:v>
      </x:c>
      <x:c r="J133" s="9" t="str">
        <x:v>Verified</x:v>
      </x:c>
    </x:row>
    <x:row r="134" ht="42" customHeight="1">
      <x:c r="A134" s="8" t="str">
        <x:v>A4.2-14</x:v>
      </x:c>
      <x:c r="B134" s="8" t="str">
        <x:v>A4.2</x:v>
      </x:c>
      <x:c r="C134" s="9" t="str">
        <x:v>Unity and diversity</x:v>
      </x:c>
      <x:c r="D134" s="9" t="str">
        <x:v>Conservation of biodiversity</x:v>
      </x:c>
      <x:c r="E134" s="9" t="str">
        <x:v>SL/HL</x:v>
      </x:c>
      <x:c r="F134" s="9" t="str">
        <x:v>Indicator species</x:v>
      </x:c>
      <x:c r="G134" s="9" t="str">
        <x:v>A species whose presence, absence, or condition reveals information about environmental quality.</x:v>
      </x:c>
      <x:c r="H134" s="9" t="str">
        <x:v>IUCN Biodiversity</x:v>
      </x:c>
      <x:c r="I134" s="9" t="str">
        <x:v>https://iucn.org/our-work/biodiversity</x:v>
      </x:c>
      <x:c r="J134" s="9" t="str">
        <x:v>Verified</x:v>
      </x:c>
    </x:row>
    <x:row r="135" ht="42" customHeight="1">
      <x:c r="A135" s="8" t="str">
        <x:v>A4.2-15</x:v>
      </x:c>
      <x:c r="B135" s="8" t="str">
        <x:v>A4.2</x:v>
      </x:c>
      <x:c r="C135" s="9" t="str">
        <x:v>Unity and diversity</x:v>
      </x:c>
      <x:c r="D135" s="9" t="str">
        <x:v>Conservation of biodiversity</x:v>
      </x:c>
      <x:c r="E135" s="9" t="str">
        <x:v>SL/HL</x:v>
      </x:c>
      <x:c r="F135" s="9" t="str">
        <x:v>Restoration ecology</x:v>
      </x:c>
      <x:c r="G135" s="9" t="str">
        <x:v>The science and practice of assisting recovery of damaged, degraded, or destroyed ecosystems.</x:v>
      </x:c>
      <x:c r="H135" s="9" t="str">
        <x:v>IUCN Biodiversity</x:v>
      </x:c>
      <x:c r="I135" s="9" t="str">
        <x:v>https://iucn.org/our-work/biodiversity</x:v>
      </x:c>
      <x:c r="J135" s="9" t="str">
        <x:v>Verified</x:v>
      </x:c>
    </x:row>
    <x:row r="136" ht="42" customHeight="1">
      <x:c r="A136" s="8" t="str">
        <x:v>B1.1-01</x:v>
      </x:c>
      <x:c r="B136" s="8" t="str">
        <x:v>B1.1</x:v>
      </x:c>
      <x:c r="C136" s="9" t="str">
        <x:v>Form and function</x:v>
      </x:c>
      <x:c r="D136" s="9" t="str">
        <x:v>Carbohydrates and lipids</x:v>
      </x:c>
      <x:c r="E136" s="9" t="str">
        <x:v>SL/HL</x:v>
      </x:c>
      <x:c r="F136" s="9" t="str">
        <x:v>Monosaccharide</x:v>
      </x:c>
      <x:c r="G136" s="9" t="str">
        <x:v>A single sugar unit that cannot be hydrolyzed into a simpler carbohydrate.</x:v>
      </x:c>
      <x:c r="H136" s="9" t="str">
        <x:v>OpenStax Biology 2e, 3.2 Carbohydrates and 3.3 Lipids</x:v>
      </x:c>
      <x:c r="I136" s="9" t="str">
        <x:v>https://openstax.org/books/biology-2e/pages/3-introduction</x:v>
      </x:c>
      <x:c r="J136" s="9" t="str">
        <x:v>Verified</x:v>
      </x:c>
    </x:row>
    <x:row r="137" ht="42" customHeight="1">
      <x:c r="A137" s="8" t="str">
        <x:v>B1.1-02</x:v>
      </x:c>
      <x:c r="B137" s="8" t="str">
        <x:v>B1.1</x:v>
      </x:c>
      <x:c r="C137" s="9" t="str">
        <x:v>Form and function</x:v>
      </x:c>
      <x:c r="D137" s="9" t="str">
        <x:v>Carbohydrates and lipids</x:v>
      </x:c>
      <x:c r="E137" s="9" t="str">
        <x:v>SL/HL</x:v>
      </x:c>
      <x:c r="F137" s="9" t="str">
        <x:v>Glucose</x:v>
      </x:c>
      <x:c r="G137" s="9" t="str">
        <x:v>A six-carbon monosaccharide used widely as a respiratory substrate and building block.</x:v>
      </x:c>
      <x:c r="H137" s="9" t="str">
        <x:v>OpenStax Biology 2e, 3.2 Carbohydrates and 3.3 Lipids</x:v>
      </x:c>
      <x:c r="I137" s="9" t="str">
        <x:v>https://openstax.org/books/biology-2e/pages/3-introduction</x:v>
      </x:c>
      <x:c r="J137" s="9" t="str">
        <x:v>Verified</x:v>
      </x:c>
    </x:row>
    <x:row r="138" ht="42" customHeight="1">
      <x:c r="A138" s="8" t="str">
        <x:v>B1.1-03</x:v>
      </x:c>
      <x:c r="B138" s="8" t="str">
        <x:v>B1.1</x:v>
      </x:c>
      <x:c r="C138" s="9" t="str">
        <x:v>Form and function</x:v>
      </x:c>
      <x:c r="D138" s="9" t="str">
        <x:v>Carbohydrates and lipids</x:v>
      </x:c>
      <x:c r="E138" s="9" t="str">
        <x:v>SL/HL</x:v>
      </x:c>
      <x:c r="F138" s="9" t="str">
        <x:v>Disaccharide</x:v>
      </x:c>
      <x:c r="G138" s="9" t="str">
        <x:v>A carbohydrate formed when two monosaccharides are joined by a glycosidic bond.</x:v>
      </x:c>
      <x:c r="H138" s="9" t="str">
        <x:v>OpenStax Biology 2e, 3.2 Carbohydrates and 3.3 Lipids</x:v>
      </x:c>
      <x:c r="I138" s="9" t="str">
        <x:v>https://openstax.org/books/biology-2e/pages/3-introduction</x:v>
      </x:c>
      <x:c r="J138" s="9" t="str">
        <x:v>Verified</x:v>
      </x:c>
    </x:row>
    <x:row r="139" ht="42" customHeight="1">
      <x:c r="A139" s="8" t="str">
        <x:v>B1.1-04</x:v>
      </x:c>
      <x:c r="B139" s="8" t="str">
        <x:v>B1.1</x:v>
      </x:c>
      <x:c r="C139" s="9" t="str">
        <x:v>Form and function</x:v>
      </x:c>
      <x:c r="D139" s="9" t="str">
        <x:v>Carbohydrates and lipids</x:v>
      </x:c>
      <x:c r="E139" s="9" t="str">
        <x:v>SL/HL</x:v>
      </x:c>
      <x:c r="F139" s="9" t="str">
        <x:v>Polysaccharide</x:v>
      </x:c>
      <x:c r="G139" s="9" t="str">
        <x:v>A polymer composed of many monosaccharides linked by glycosidic bonds.</x:v>
      </x:c>
      <x:c r="H139" s="9" t="str">
        <x:v>OpenStax Biology 2e, 3.2 Carbohydrates and 3.3 Lipids</x:v>
      </x:c>
      <x:c r="I139" s="9" t="str">
        <x:v>https://openstax.org/books/biology-2e/pages/3-introduction</x:v>
      </x:c>
      <x:c r="J139" s="9" t="str">
        <x:v>Verified</x:v>
      </x:c>
    </x:row>
    <x:row r="140" ht="42" customHeight="1">
      <x:c r="A140" s="8" t="str">
        <x:v>B1.1-05</x:v>
      </x:c>
      <x:c r="B140" s="8" t="str">
        <x:v>B1.1</x:v>
      </x:c>
      <x:c r="C140" s="9" t="str">
        <x:v>Form and function</x:v>
      </x:c>
      <x:c r="D140" s="9" t="str">
        <x:v>Carbohydrates and lipids</x:v>
      </x:c>
      <x:c r="E140" s="9" t="str">
        <x:v>SL/HL</x:v>
      </x:c>
      <x:c r="F140" s="9" t="str">
        <x:v>Condensation reaction</x:v>
      </x:c>
      <x:c r="G140" s="9" t="str">
        <x:v>A reaction that forms a covalent bond between molecules while releasing water.</x:v>
      </x:c>
      <x:c r="H140" s="9" t="str">
        <x:v>OpenStax Biology 2e, 3.2 Carbohydrates and 3.3 Lipids</x:v>
      </x:c>
      <x:c r="I140" s="9" t="str">
        <x:v>https://openstax.org/books/biology-2e/pages/3-introduction</x:v>
      </x:c>
      <x:c r="J140" s="9" t="str">
        <x:v>Verified</x:v>
      </x:c>
    </x:row>
    <x:row r="141" ht="42" customHeight="1">
      <x:c r="A141" s="8" t="str">
        <x:v>B1.1-06</x:v>
      </x:c>
      <x:c r="B141" s="8" t="str">
        <x:v>B1.1</x:v>
      </x:c>
      <x:c r="C141" s="9" t="str">
        <x:v>Form and function</x:v>
      </x:c>
      <x:c r="D141" s="9" t="str">
        <x:v>Carbohydrates and lipids</x:v>
      </x:c>
      <x:c r="E141" s="9" t="str">
        <x:v>SL/HL</x:v>
      </x:c>
      <x:c r="F141" s="9" t="str">
        <x:v>Hydrolysis</x:v>
      </x:c>
      <x:c r="G141" s="9" t="str">
        <x:v>Cleavage of a covalent bond by adding the components of water.</x:v>
      </x:c>
      <x:c r="H141" s="9" t="str">
        <x:v>OpenStax Biology 2e, 3.2 Carbohydrates and 3.3 Lipids</x:v>
      </x:c>
      <x:c r="I141" s="9" t="str">
        <x:v>https://openstax.org/books/biology-2e/pages/3-introduction</x:v>
      </x:c>
      <x:c r="J141" s="9" t="str">
        <x:v>Verified</x:v>
      </x:c>
    </x:row>
    <x:row r="142" ht="42" customHeight="1">
      <x:c r="A142" s="8" t="str">
        <x:v>B1.1-07</x:v>
      </x:c>
      <x:c r="B142" s="8" t="str">
        <x:v>B1.1</x:v>
      </x:c>
      <x:c r="C142" s="9" t="str">
        <x:v>Form and function</x:v>
      </x:c>
      <x:c r="D142" s="9" t="str">
        <x:v>Carbohydrates and lipids</x:v>
      </x:c>
      <x:c r="E142" s="9" t="str">
        <x:v>SL/HL</x:v>
      </x:c>
      <x:c r="F142" s="9" t="str">
        <x:v>Glycosidic bond</x:v>
      </x:c>
      <x:c r="G142" s="9" t="str">
        <x:v>A covalent linkage joining one sugar residue to another group, commonly another sugar.</x:v>
      </x:c>
      <x:c r="H142" s="9" t="str">
        <x:v>OpenStax Biology 2e, 3.2 Carbohydrates and 3.3 Lipids</x:v>
      </x:c>
      <x:c r="I142" s="9" t="str">
        <x:v>https://openstax.org/books/biology-2e/pages/3-introduction</x:v>
      </x:c>
      <x:c r="J142" s="9" t="str">
        <x:v>Verified</x:v>
      </x:c>
    </x:row>
    <x:row r="143" ht="42" customHeight="1">
      <x:c r="A143" s="8" t="str">
        <x:v>B1.1-08</x:v>
      </x:c>
      <x:c r="B143" s="8" t="str">
        <x:v>B1.1</x:v>
      </x:c>
      <x:c r="C143" s="9" t="str">
        <x:v>Form and function</x:v>
      </x:c>
      <x:c r="D143" s="9" t="str">
        <x:v>Carbohydrates and lipids</x:v>
      </x:c>
      <x:c r="E143" s="9" t="str">
        <x:v>SL/HL</x:v>
      </x:c>
      <x:c r="F143" s="9" t="str">
        <x:v>Starch</x:v>
      </x:c>
      <x:c r="G143" s="9" t="str">
        <x:v>A plant glucose-storage polymer composed of amylose and branched amylopectin.</x:v>
      </x:c>
      <x:c r="H143" s="9" t="str">
        <x:v>OpenStax Biology 2e, 3.2 Carbohydrates and 3.3 Lipids</x:v>
      </x:c>
      <x:c r="I143" s="9" t="str">
        <x:v>https://openstax.org/books/biology-2e/pages/3-introduction</x:v>
      </x:c>
      <x:c r="J143" s="9" t="str">
        <x:v>Verified</x:v>
      </x:c>
    </x:row>
    <x:row r="144" ht="42" customHeight="1">
      <x:c r="A144" s="8" t="str">
        <x:v>B1.1-09</x:v>
      </x:c>
      <x:c r="B144" s="8" t="str">
        <x:v>B1.1</x:v>
      </x:c>
      <x:c r="C144" s="9" t="str">
        <x:v>Form and function</x:v>
      </x:c>
      <x:c r="D144" s="9" t="str">
        <x:v>Carbohydrates and lipids</x:v>
      </x:c>
      <x:c r="E144" s="9" t="str">
        <x:v>SL/HL</x:v>
      </x:c>
      <x:c r="F144" s="9" t="str">
        <x:v>Glycogen</x:v>
      </x:c>
      <x:c r="G144" s="9" t="str">
        <x:v>A highly branched glucose-storage polymer found mainly in animals and fungi.</x:v>
      </x:c>
      <x:c r="H144" s="9" t="str">
        <x:v>OpenStax Biology 2e, 3.2 Carbohydrates and 3.3 Lipids</x:v>
      </x:c>
      <x:c r="I144" s="9" t="str">
        <x:v>https://openstax.org/books/biology-2e/pages/3-introduction</x:v>
      </x:c>
      <x:c r="J144" s="9" t="str">
        <x:v>Verified</x:v>
      </x:c>
    </x:row>
    <x:row r="145" ht="42" customHeight="1">
      <x:c r="A145" s="8" t="str">
        <x:v>B1.1-10</x:v>
      </x:c>
      <x:c r="B145" s="8" t="str">
        <x:v>B1.1</x:v>
      </x:c>
      <x:c r="C145" s="9" t="str">
        <x:v>Form and function</x:v>
      </x:c>
      <x:c r="D145" s="9" t="str">
        <x:v>Carbohydrates and lipids</x:v>
      </x:c>
      <x:c r="E145" s="9" t="str">
        <x:v>SL/HL</x:v>
      </x:c>
      <x:c r="F145" s="9" t="str">
        <x:v>Cellulose</x:v>
      </x:c>
      <x:c r="G145" s="9" t="str">
        <x:v>An unbranched polymer of β-glucose whose hydrogen-bonded microfibrils strengthen plant cell walls.</x:v>
      </x:c>
      <x:c r="H145" s="9" t="str">
        <x:v>OpenStax Biology 2e, 3.2 Carbohydrates and 3.3 Lipids</x:v>
      </x:c>
      <x:c r="I145" s="9" t="str">
        <x:v>https://openstax.org/books/biology-2e/pages/3-introduction</x:v>
      </x:c>
      <x:c r="J145" s="9" t="str">
        <x:v>Verified</x:v>
      </x:c>
    </x:row>
    <x:row r="146" ht="42" customHeight="1">
      <x:c r="A146" s="8" t="str">
        <x:v>B1.1-11</x:v>
      </x:c>
      <x:c r="B146" s="8" t="str">
        <x:v>B1.1</x:v>
      </x:c>
      <x:c r="C146" s="9" t="str">
        <x:v>Form and function</x:v>
      </x:c>
      <x:c r="D146" s="9" t="str">
        <x:v>Carbohydrates and lipids</x:v>
      </x:c>
      <x:c r="E146" s="9" t="str">
        <x:v>SL/HL</x:v>
      </x:c>
      <x:c r="F146" s="9" t="str">
        <x:v>Triglyceride</x:v>
      </x:c>
      <x:c r="G146" s="9" t="str">
        <x:v>A lipid formed from glycerol joined by ester bonds to three fatty acids.</x:v>
      </x:c>
      <x:c r="H146" s="9" t="str">
        <x:v>OpenStax Biology 2e, 3.2 Carbohydrates and 3.3 Lipids</x:v>
      </x:c>
      <x:c r="I146" s="9" t="str">
        <x:v>https://openstax.org/books/biology-2e/pages/3-introduction</x:v>
      </x:c>
      <x:c r="J146" s="9" t="str">
        <x:v>Verified</x:v>
      </x:c>
    </x:row>
    <x:row r="147" ht="42" customHeight="1">
      <x:c r="A147" s="8" t="str">
        <x:v>B1.1-12</x:v>
      </x:c>
      <x:c r="B147" s="8" t="str">
        <x:v>B1.1</x:v>
      </x:c>
      <x:c r="C147" s="9" t="str">
        <x:v>Form and function</x:v>
      </x:c>
      <x:c r="D147" s="9" t="str">
        <x:v>Carbohydrates and lipids</x:v>
      </x:c>
      <x:c r="E147" s="9" t="str">
        <x:v>SL/HL</x:v>
      </x:c>
      <x:c r="F147" s="9" t="str">
        <x:v>Fatty acid</x:v>
      </x:c>
      <x:c r="G147" s="9" t="str">
        <x:v>A hydrocarbon chain with a terminal carboxyl group and variable chain length or unsaturation.</x:v>
      </x:c>
      <x:c r="H147" s="9" t="str">
        <x:v>OpenStax Biology 2e, 3.2 Carbohydrates and 3.3 Lipids</x:v>
      </x:c>
      <x:c r="I147" s="9" t="str">
        <x:v>https://openstax.org/books/biology-2e/pages/3-introduction</x:v>
      </x:c>
      <x:c r="J147" s="9" t="str">
        <x:v>Verified</x:v>
      </x:c>
    </x:row>
    <x:row r="148" ht="42" customHeight="1">
      <x:c r="A148" s="8" t="str">
        <x:v>B1.1-13</x:v>
      </x:c>
      <x:c r="B148" s="8" t="str">
        <x:v>B1.1</x:v>
      </x:c>
      <x:c r="C148" s="9" t="str">
        <x:v>Form and function</x:v>
      </x:c>
      <x:c r="D148" s="9" t="str">
        <x:v>Carbohydrates and lipids</x:v>
      </x:c>
      <x:c r="E148" s="9" t="str">
        <x:v>SL/HL</x:v>
      </x:c>
      <x:c r="F148" s="9" t="str">
        <x:v>Saturated fatty acid</x:v>
      </x:c>
      <x:c r="G148" s="9" t="str">
        <x:v>A fatty acid containing no carbon–carbon double bonds in its hydrocarbon chain.</x:v>
      </x:c>
      <x:c r="H148" s="9" t="str">
        <x:v>OpenStax Biology 2e, 3.2 Carbohydrates and 3.3 Lipids</x:v>
      </x:c>
      <x:c r="I148" s="9" t="str">
        <x:v>https://openstax.org/books/biology-2e/pages/3-introduction</x:v>
      </x:c>
      <x:c r="J148" s="9" t="str">
        <x:v>Verified</x:v>
      </x:c>
    </x:row>
    <x:row r="149" ht="42" customHeight="1">
      <x:c r="A149" s="8" t="str">
        <x:v>B1.1-14</x:v>
      </x:c>
      <x:c r="B149" s="8" t="str">
        <x:v>B1.1</x:v>
      </x:c>
      <x:c r="C149" s="9" t="str">
        <x:v>Form and function</x:v>
      </x:c>
      <x:c r="D149" s="9" t="str">
        <x:v>Carbohydrates and lipids</x:v>
      </x:c>
      <x:c r="E149" s="9" t="str">
        <x:v>SL/HL</x:v>
      </x:c>
      <x:c r="F149" s="9" t="str">
        <x:v>Unsaturated fatty acid</x:v>
      </x:c>
      <x:c r="G149" s="9" t="str">
        <x:v>A fatty acid containing one or more carbon–carbon double bonds in its hydrocarbon chain.</x:v>
      </x:c>
      <x:c r="H149" s="9" t="str">
        <x:v>OpenStax Biology 2e, 3.2 Carbohydrates and 3.3 Lipids</x:v>
      </x:c>
      <x:c r="I149" s="9" t="str">
        <x:v>https://openstax.org/books/biology-2e/pages/3-introduction</x:v>
      </x:c>
      <x:c r="J149" s="9" t="str">
        <x:v>Verified</x:v>
      </x:c>
    </x:row>
    <x:row r="150" ht="42" customHeight="1">
      <x:c r="A150" s="8" t="str">
        <x:v>B1.1-15</x:v>
      </x:c>
      <x:c r="B150" s="8" t="str">
        <x:v>B1.1</x:v>
      </x:c>
      <x:c r="C150" s="9" t="str">
        <x:v>Form and function</x:v>
      </x:c>
      <x:c r="D150" s="9" t="str">
        <x:v>Carbohydrates and lipids</x:v>
      </x:c>
      <x:c r="E150" s="9" t="str">
        <x:v>SL/HL</x:v>
      </x:c>
      <x:c r="F150" s="9" t="str">
        <x:v>Phospholipid</x:v>
      </x:c>
      <x:c r="G150" s="9" t="str">
        <x:v>An amphipathic lipid with a phosphate-containing head and two hydrophobic fatty-acid tails.</x:v>
      </x:c>
      <x:c r="H150" s="9" t="str">
        <x:v>OpenStax Biology 2e, 3.2 Carbohydrates and 3.3 Lipids</x:v>
      </x:c>
      <x:c r="I150" s="9" t="str">
        <x:v>https://openstax.org/books/biology-2e/pages/3-introduction</x:v>
      </x:c>
      <x:c r="J150" s="9" t="str">
        <x:v>Verified</x:v>
      </x:c>
    </x:row>
    <x:row r="151" ht="42" customHeight="1">
      <x:c r="A151" s="8" t="str">
        <x:v>B1.2-01</x:v>
      </x:c>
      <x:c r="B151" s="8" t="str">
        <x:v>B1.2</x:v>
      </x:c>
      <x:c r="C151" s="9" t="str">
        <x:v>Form and function</x:v>
      </x:c>
      <x:c r="D151" s="9" t="str">
        <x:v>Proteins</x:v>
      </x:c>
      <x:c r="E151" s="9" t="str">
        <x:v>SL/HL</x:v>
      </x:c>
      <x:c r="F151" s="9" t="str">
        <x:v>Amino acid</x:v>
      </x:c>
      <x:c r="G151" s="9" t="str">
        <x:v>A protein monomer with amino and carboxyl groups bonded to a central carbon bearing a variable side chain.</x:v>
      </x:c>
      <x:c r="H151" s="9" t="str">
        <x:v>OpenStax Biology 2e, 3.4 Proteins</x:v>
      </x:c>
      <x:c r="I151" s="9" t="str">
        <x:v>https://openstax.org/books/biology-2e/pages/3-4-proteins</x:v>
      </x:c>
      <x:c r="J151" s="9" t="str">
        <x:v>Verified</x:v>
      </x:c>
    </x:row>
    <x:row r="152" ht="42" customHeight="1">
      <x:c r="A152" s="8" t="str">
        <x:v>B1.2-02</x:v>
      </x:c>
      <x:c r="B152" s="8" t="str">
        <x:v>B1.2</x:v>
      </x:c>
      <x:c r="C152" s="9" t="str">
        <x:v>Form and function</x:v>
      </x:c>
      <x:c r="D152" s="9" t="str">
        <x:v>Proteins</x:v>
      </x:c>
      <x:c r="E152" s="9" t="str">
        <x:v>SL/HL</x:v>
      </x:c>
      <x:c r="F152" s="9" t="str">
        <x:v>R group</x:v>
      </x:c>
      <x:c r="G152" s="9" t="str">
        <x:v>The variable side chain that determines an amino acid’s chemical properties.</x:v>
      </x:c>
      <x:c r="H152" s="9" t="str">
        <x:v>OpenStax Biology 2e, 3.4 Proteins</x:v>
      </x:c>
      <x:c r="I152" s="9" t="str">
        <x:v>https://openstax.org/books/biology-2e/pages/3-4-proteins</x:v>
      </x:c>
      <x:c r="J152" s="9" t="str">
        <x:v>Verified</x:v>
      </x:c>
    </x:row>
    <x:row r="153" ht="42" customHeight="1">
      <x:c r="A153" s="8" t="str">
        <x:v>B1.2-03</x:v>
      </x:c>
      <x:c r="B153" s="8" t="str">
        <x:v>B1.2</x:v>
      </x:c>
      <x:c r="C153" s="9" t="str">
        <x:v>Form and function</x:v>
      </x:c>
      <x:c r="D153" s="9" t="str">
        <x:v>Proteins</x:v>
      </x:c>
      <x:c r="E153" s="9" t="str">
        <x:v>SL/HL</x:v>
      </x:c>
      <x:c r="F153" s="9" t="str">
        <x:v>Peptide bond</x:v>
      </x:c>
      <x:c r="G153" s="9" t="str">
        <x:v>The covalent amide linkage formed between the carboxyl group of one amino acid and another’s amino group.</x:v>
      </x:c>
      <x:c r="H153" s="9" t="str">
        <x:v>OpenStax Biology 2e, 3.4 Proteins</x:v>
      </x:c>
      <x:c r="I153" s="9" t="str">
        <x:v>https://openstax.org/books/biology-2e/pages/3-4-proteins</x:v>
      </x:c>
      <x:c r="J153" s="9" t="str">
        <x:v>Verified</x:v>
      </x:c>
    </x:row>
    <x:row r="154" ht="42" customHeight="1">
      <x:c r="A154" s="8" t="str">
        <x:v>B1.2-04</x:v>
      </x:c>
      <x:c r="B154" s="8" t="str">
        <x:v>B1.2</x:v>
      </x:c>
      <x:c r="C154" s="9" t="str">
        <x:v>Form and function</x:v>
      </x:c>
      <x:c r="D154" s="9" t="str">
        <x:v>Proteins</x:v>
      </x:c>
      <x:c r="E154" s="9" t="str">
        <x:v>SL/HL</x:v>
      </x:c>
      <x:c r="F154" s="9" t="str">
        <x:v>Polypeptide</x:v>
      </x:c>
      <x:c r="G154" s="9" t="str">
        <x:v>A linear chain of amino-acid residues joined by peptide bonds.</x:v>
      </x:c>
      <x:c r="H154" s="9" t="str">
        <x:v>OpenStax Biology 2e, 3.4 Proteins</x:v>
      </x:c>
      <x:c r="I154" s="9" t="str">
        <x:v>https://openstax.org/books/biology-2e/pages/3-4-proteins</x:v>
      </x:c>
      <x:c r="J154" s="9" t="str">
        <x:v>Verified</x:v>
      </x:c>
    </x:row>
    <x:row r="155" ht="42" customHeight="1">
      <x:c r="A155" s="8" t="str">
        <x:v>B1.2-05</x:v>
      </x:c>
      <x:c r="B155" s="8" t="str">
        <x:v>B1.2</x:v>
      </x:c>
      <x:c r="C155" s="9" t="str">
        <x:v>Form and function</x:v>
      </x:c>
      <x:c r="D155" s="9" t="str">
        <x:v>Proteins</x:v>
      </x:c>
      <x:c r="E155" s="9" t="str">
        <x:v>SL/HL</x:v>
      </x:c>
      <x:c r="F155" s="9" t="str">
        <x:v>Primary protein structure</x:v>
      </x:c>
      <x:c r="G155" s="9" t="str">
        <x:v>The specific linear sequence of amino acids in a polypeptide.</x:v>
      </x:c>
      <x:c r="H155" s="9" t="str">
        <x:v>OpenStax Biology 2e, 3.4 Proteins</x:v>
      </x:c>
      <x:c r="I155" s="9" t="str">
        <x:v>https://openstax.org/books/biology-2e/pages/3-4-proteins</x:v>
      </x:c>
      <x:c r="J155" s="9" t="str">
        <x:v>Verified</x:v>
      </x:c>
    </x:row>
    <x:row r="156" ht="42" customHeight="1">
      <x:c r="A156" s="8" t="str">
        <x:v>B1.2-06</x:v>
      </x:c>
      <x:c r="B156" s="8" t="str">
        <x:v>B1.2</x:v>
      </x:c>
      <x:c r="C156" s="9" t="str">
        <x:v>Form and function</x:v>
      </x:c>
      <x:c r="D156" s="9" t="str">
        <x:v>Proteins</x:v>
      </x:c>
      <x:c r="E156" s="9" t="str">
        <x:v>SL/HL</x:v>
      </x:c>
      <x:c r="F156" s="9" t="str">
        <x:v>Secondary protein structure</x:v>
      </x:c>
      <x:c r="G156" s="9" t="str">
        <x:v>Local backbone folding stabilized by hydrogen bonds, especially α-helices and β-pleated sheets.</x:v>
      </x:c>
      <x:c r="H156" s="9" t="str">
        <x:v>OpenStax Biology 2e, 3.4 Proteins</x:v>
      </x:c>
      <x:c r="I156" s="9" t="str">
        <x:v>https://openstax.org/books/biology-2e/pages/3-4-proteins</x:v>
      </x:c>
      <x:c r="J156" s="9" t="str">
        <x:v>Verified</x:v>
      </x:c>
    </x:row>
    <x:row r="157" ht="42" customHeight="1">
      <x:c r="A157" s="8" t="str">
        <x:v>B1.2-07</x:v>
      </x:c>
      <x:c r="B157" s="8" t="str">
        <x:v>B1.2</x:v>
      </x:c>
      <x:c r="C157" s="9" t="str">
        <x:v>Form and function</x:v>
      </x:c>
      <x:c r="D157" s="9" t="str">
        <x:v>Proteins</x:v>
      </x:c>
      <x:c r="E157" s="9" t="str">
        <x:v>SL/HL</x:v>
      </x:c>
      <x:c r="F157" s="9" t="str">
        <x:v>Tertiary protein structure</x:v>
      </x:c>
      <x:c r="G157" s="9" t="str">
        <x:v>The overall three-dimensional shape of one polypeptide produced by interactions among side chains and the backbone.</x:v>
      </x:c>
      <x:c r="H157" s="9" t="str">
        <x:v>OpenStax Biology 2e, 3.4 Proteins</x:v>
      </x:c>
      <x:c r="I157" s="9" t="str">
        <x:v>https://openstax.org/books/biology-2e/pages/3-4-proteins</x:v>
      </x:c>
      <x:c r="J157" s="9" t="str">
        <x:v>Verified</x:v>
      </x:c>
    </x:row>
    <x:row r="158" ht="42" customHeight="1">
      <x:c r="A158" s="8" t="str">
        <x:v>B1.2-08</x:v>
      </x:c>
      <x:c r="B158" s="8" t="str">
        <x:v>B1.2</x:v>
      </x:c>
      <x:c r="C158" s="9" t="str">
        <x:v>Form and function</x:v>
      </x:c>
      <x:c r="D158" s="9" t="str">
        <x:v>Proteins</x:v>
      </x:c>
      <x:c r="E158" s="9" t="str">
        <x:v>SL/HL</x:v>
      </x:c>
      <x:c r="F158" s="9" t="str">
        <x:v>Quaternary protein structure</x:v>
      </x:c>
      <x:c r="G158" s="9" t="str">
        <x:v>The arrangement and interaction of multiple polypeptide subunits in one functional protein.</x:v>
      </x:c>
      <x:c r="H158" s="9" t="str">
        <x:v>OpenStax Biology 2e, 3.4 Proteins</x:v>
      </x:c>
      <x:c r="I158" s="9" t="str">
        <x:v>https://openstax.org/books/biology-2e/pages/3-4-proteins</x:v>
      </x:c>
      <x:c r="J158" s="9" t="str">
        <x:v>Verified</x:v>
      </x:c>
    </x:row>
    <x:row r="159" ht="42" customHeight="1">
      <x:c r="A159" s="8" t="str">
        <x:v>B1.2-09</x:v>
      </x:c>
      <x:c r="B159" s="8" t="str">
        <x:v>B1.2</x:v>
      </x:c>
      <x:c r="C159" s="9" t="str">
        <x:v>Form and function</x:v>
      </x:c>
      <x:c r="D159" s="9" t="str">
        <x:v>Proteins</x:v>
      </x:c>
      <x:c r="E159" s="9" t="str">
        <x:v>SL/HL</x:v>
      </x:c>
      <x:c r="F159" s="9" t="str">
        <x:v>α-helix</x:v>
      </x:c>
      <x:c r="G159" s="9" t="str">
        <x:v>A coiled secondary structure stabilized by hydrogen bonds within the polypeptide backbone.</x:v>
      </x:c>
      <x:c r="H159" s="9" t="str">
        <x:v>OpenStax Biology 2e, 3.4 Proteins</x:v>
      </x:c>
      <x:c r="I159" s="9" t="str">
        <x:v>https://openstax.org/books/biology-2e/pages/3-4-proteins</x:v>
      </x:c>
      <x:c r="J159" s="9" t="str">
        <x:v>Verified</x:v>
      </x:c>
    </x:row>
    <x:row r="160" ht="42" customHeight="1">
      <x:c r="A160" s="8" t="str">
        <x:v>B1.2-10</x:v>
      </x:c>
      <x:c r="B160" s="8" t="str">
        <x:v>B1.2</x:v>
      </x:c>
      <x:c r="C160" s="9" t="str">
        <x:v>Form and function</x:v>
      </x:c>
      <x:c r="D160" s="9" t="str">
        <x:v>Proteins</x:v>
      </x:c>
      <x:c r="E160" s="9" t="str">
        <x:v>SL/HL</x:v>
      </x:c>
      <x:c r="F160" s="9" t="str">
        <x:v>β-pleated sheet</x:v>
      </x:c>
      <x:c r="G160" s="9" t="str">
        <x:v>A sheet-like secondary structure stabilized by hydrogen bonds between adjacent backbone segments.</x:v>
      </x:c>
      <x:c r="H160" s="9" t="str">
        <x:v>OpenStax Biology 2e, 3.4 Proteins</x:v>
      </x:c>
      <x:c r="I160" s="9" t="str">
        <x:v>https://openstax.org/books/biology-2e/pages/3-4-proteins</x:v>
      </x:c>
      <x:c r="J160" s="9" t="str">
        <x:v>Verified</x:v>
      </x:c>
    </x:row>
    <x:row r="161" ht="42" customHeight="1">
      <x:c r="A161" s="8" t="str">
        <x:v>B1.2-11</x:v>
      </x:c>
      <x:c r="B161" s="8" t="str">
        <x:v>B1.2</x:v>
      </x:c>
      <x:c r="C161" s="9" t="str">
        <x:v>Form and function</x:v>
      </x:c>
      <x:c r="D161" s="9" t="str">
        <x:v>Proteins</x:v>
      </x:c>
      <x:c r="E161" s="9" t="str">
        <x:v>SL/HL</x:v>
      </x:c>
      <x:c r="F161" s="9" t="str">
        <x:v>Disulfide bridge</x:v>
      </x:c>
      <x:c r="G161" s="9" t="str">
        <x:v>A covalent bond between the sulfur atoms of two cysteine side chains.</x:v>
      </x:c>
      <x:c r="H161" s="9" t="str">
        <x:v>OpenStax Biology 2e, 3.4 Proteins</x:v>
      </x:c>
      <x:c r="I161" s="9" t="str">
        <x:v>https://openstax.org/books/biology-2e/pages/3-4-proteins</x:v>
      </x:c>
      <x:c r="J161" s="9" t="str">
        <x:v>Verified</x:v>
      </x:c>
    </x:row>
    <x:row r="162" ht="42" customHeight="1">
      <x:c r="A162" s="8" t="str">
        <x:v>B1.2-12</x:v>
      </x:c>
      <x:c r="B162" s="8" t="str">
        <x:v>B1.2</x:v>
      </x:c>
      <x:c r="C162" s="9" t="str">
        <x:v>Form and function</x:v>
      </x:c>
      <x:c r="D162" s="9" t="str">
        <x:v>Proteins</x:v>
      </x:c>
      <x:c r="E162" s="9" t="str">
        <x:v>SL/HL</x:v>
      </x:c>
      <x:c r="F162" s="9" t="str">
        <x:v>Denaturation</x:v>
      </x:c>
      <x:c r="G162" s="9" t="str">
        <x:v>Loss of a protein’s native shape and function without necessarily breaking its peptide bonds.</x:v>
      </x:c>
      <x:c r="H162" s="9" t="str">
        <x:v>OpenStax Biology 2e, 3.4 Proteins</x:v>
      </x:c>
      <x:c r="I162" s="9" t="str">
        <x:v>https://openstax.org/books/biology-2e/pages/3-4-proteins</x:v>
      </x:c>
      <x:c r="J162" s="9" t="str">
        <x:v>Verified</x:v>
      </x:c>
    </x:row>
    <x:row r="163" ht="42" customHeight="1">
      <x:c r="A163" s="8" t="str">
        <x:v>B1.2-13</x:v>
      </x:c>
      <x:c r="B163" s="8" t="str">
        <x:v>B1.2</x:v>
      </x:c>
      <x:c r="C163" s="9" t="str">
        <x:v>Form and function</x:v>
      </x:c>
      <x:c r="D163" s="9" t="str">
        <x:v>Proteins</x:v>
      </x:c>
      <x:c r="E163" s="9" t="str">
        <x:v>SL/HL</x:v>
      </x:c>
      <x:c r="F163" s="9" t="str">
        <x:v>Globular protein</x:v>
      </x:c>
      <x:c r="G163" s="9" t="str">
        <x:v>A compact, generally soluble protein whose folded shape supports roles such as catalysis or transport.</x:v>
      </x:c>
      <x:c r="H163" s="9" t="str">
        <x:v>OpenStax Biology 2e, 3.4 Proteins</x:v>
      </x:c>
      <x:c r="I163" s="9" t="str">
        <x:v>https://openstax.org/books/biology-2e/pages/3-4-proteins</x:v>
      </x:c>
      <x:c r="J163" s="9" t="str">
        <x:v>Verified</x:v>
      </x:c>
    </x:row>
    <x:row r="164" ht="42" customHeight="1">
      <x:c r="A164" s="8" t="str">
        <x:v>B1.2-14</x:v>
      </x:c>
      <x:c r="B164" s="8" t="str">
        <x:v>B1.2</x:v>
      </x:c>
      <x:c r="C164" s="9" t="str">
        <x:v>Form and function</x:v>
      </x:c>
      <x:c r="D164" s="9" t="str">
        <x:v>Proteins</x:v>
      </x:c>
      <x:c r="E164" s="9" t="str">
        <x:v>SL/HL</x:v>
      </x:c>
      <x:c r="F164" s="9" t="str">
        <x:v>Fibrous protein</x:v>
      </x:c>
      <x:c r="G164" s="9" t="str">
        <x:v>An elongated, usually insoluble protein specialized for structural or mechanical functions.</x:v>
      </x:c>
      <x:c r="H164" s="9" t="str">
        <x:v>OpenStax Biology 2e, 3.4 Proteins</x:v>
      </x:c>
      <x:c r="I164" s="9" t="str">
        <x:v>https://openstax.org/books/biology-2e/pages/3-4-proteins</x:v>
      </x:c>
      <x:c r="J164" s="9" t="str">
        <x:v>Verified</x:v>
      </x:c>
    </x:row>
    <x:row r="165" ht="42" customHeight="1">
      <x:c r="A165" s="8" t="str">
        <x:v>B1.2-15</x:v>
      </x:c>
      <x:c r="B165" s="8" t="str">
        <x:v>B1.2</x:v>
      </x:c>
      <x:c r="C165" s="9" t="str">
        <x:v>Form and function</x:v>
      </x:c>
      <x:c r="D165" s="9" t="str">
        <x:v>Proteins</x:v>
      </x:c>
      <x:c r="E165" s="9" t="str">
        <x:v>SL/HL</x:v>
      </x:c>
      <x:c r="F165" s="9" t="str">
        <x:v>Conjugated protein</x:v>
      </x:c>
      <x:c r="G165" s="9" t="str">
        <x:v>A protein associated with a non-protein component required for its biological function.</x:v>
      </x:c>
      <x:c r="H165" s="9" t="str">
        <x:v>OpenStax Biology 2e, 3.4 Proteins</x:v>
      </x:c>
      <x:c r="I165" s="9" t="str">
        <x:v>https://openstax.org/books/biology-2e/pages/3-4-proteins</x:v>
      </x:c>
      <x:c r="J165" s="9" t="str">
        <x:v>Verified</x:v>
      </x:c>
    </x:row>
    <x:row r="166" ht="42" customHeight="1">
      <x:c r="A166" s="8" t="str">
        <x:v>B2.1-01</x:v>
      </x:c>
      <x:c r="B166" s="8" t="str">
        <x:v>B2.1</x:v>
      </x:c>
      <x:c r="C166" s="9" t="str">
        <x:v>Form and function</x:v>
      </x:c>
      <x:c r="D166" s="9" t="str">
        <x:v>Membranes and membrane transport</x:v>
      </x:c>
      <x:c r="E166" s="9" t="str">
        <x:v>SL/HL</x:v>
      </x:c>
      <x:c r="F166" s="9" t="str">
        <x:v>Fluid mosaic model</x:v>
      </x:c>
      <x:c r="G166" s="9" t="str">
        <x:v>A model describing membranes as mobile lipids containing a changing mosaic of proteins and other components.</x:v>
      </x:c>
      <x:c r="H166" s="9" t="str">
        <x:v>OpenStax Biology 2e, 5.1–5.4 Plasma Membranes</x:v>
      </x:c>
      <x:c r="I166" s="9" t="str">
        <x:v>https://openstax.org/books/biology-2e/pages/5-introduction</x:v>
      </x:c>
      <x:c r="J166" s="9" t="str">
        <x:v>Verified</x:v>
      </x:c>
    </x:row>
    <x:row r="167" ht="42" customHeight="1">
      <x:c r="A167" s="8" t="str">
        <x:v>B2.1-02</x:v>
      </x:c>
      <x:c r="B167" s="8" t="str">
        <x:v>B2.1</x:v>
      </x:c>
      <x:c r="C167" s="9" t="str">
        <x:v>Form and function</x:v>
      </x:c>
      <x:c r="D167" s="9" t="str">
        <x:v>Membranes and membrane transport</x:v>
      </x:c>
      <x:c r="E167" s="9" t="str">
        <x:v>SL/HL</x:v>
      </x:c>
      <x:c r="F167" s="9" t="str">
        <x:v>Phospholipid bilayer</x:v>
      </x:c>
      <x:c r="G167" s="9" t="str">
        <x:v>Two layers of phospholipids with hydrophobic tails inward and hydrophilic heads facing surrounding water.</x:v>
      </x:c>
      <x:c r="H167" s="9" t="str">
        <x:v>OpenStax Biology 2e, 5.1–5.4 Plasma Membranes</x:v>
      </x:c>
      <x:c r="I167" s="9" t="str">
        <x:v>https://openstax.org/books/biology-2e/pages/5-introduction</x:v>
      </x:c>
      <x:c r="J167" s="9" t="str">
        <x:v>Verified</x:v>
      </x:c>
    </x:row>
    <x:row r="168" ht="42" customHeight="1">
      <x:c r="A168" s="8" t="str">
        <x:v>B2.1-03</x:v>
      </x:c>
      <x:c r="B168" s="8" t="str">
        <x:v>B2.1</x:v>
      </x:c>
      <x:c r="C168" s="9" t="str">
        <x:v>Form and function</x:v>
      </x:c>
      <x:c r="D168" s="9" t="str">
        <x:v>Membranes and membrane transport</x:v>
      </x:c>
      <x:c r="E168" s="9" t="str">
        <x:v>SL/HL</x:v>
      </x:c>
      <x:c r="F168" s="9" t="str">
        <x:v>Amphipathic</x:v>
      </x:c>
      <x:c r="G168" s="9" t="str">
        <x:v>Having both hydrophilic and hydrophobic regions within the same molecule.</x:v>
      </x:c>
      <x:c r="H168" s="9" t="str">
        <x:v>OpenStax Biology 2e, 5.1–5.4 Plasma Membranes</x:v>
      </x:c>
      <x:c r="I168" s="9" t="str">
        <x:v>https://openstax.org/books/biology-2e/pages/5-introduction</x:v>
      </x:c>
      <x:c r="J168" s="9" t="str">
        <x:v>Verified</x:v>
      </x:c>
    </x:row>
    <x:row r="169" ht="42" customHeight="1">
      <x:c r="A169" s="8" t="str">
        <x:v>B2.1-04</x:v>
      </x:c>
      <x:c r="B169" s="8" t="str">
        <x:v>B2.1</x:v>
      </x:c>
      <x:c r="C169" s="9" t="str">
        <x:v>Form and function</x:v>
      </x:c>
      <x:c r="D169" s="9" t="str">
        <x:v>Membranes and membrane transport</x:v>
      </x:c>
      <x:c r="E169" s="9" t="str">
        <x:v>SL/HL</x:v>
      </x:c>
      <x:c r="F169" s="9" t="str">
        <x:v>Integral membrane protein</x:v>
      </x:c>
      <x:c r="G169" s="9" t="str">
        <x:v>A protein permanently embedded in the lipid bilayer, often spanning it completely.</x:v>
      </x:c>
      <x:c r="H169" s="9" t="str">
        <x:v>OpenStax Biology 2e, 5.1–5.4 Plasma Membranes</x:v>
      </x:c>
      <x:c r="I169" s="9" t="str">
        <x:v>https://openstax.org/books/biology-2e/pages/5-introduction</x:v>
      </x:c>
      <x:c r="J169" s="9" t="str">
        <x:v>Verified</x:v>
      </x:c>
    </x:row>
    <x:row r="170" ht="42" customHeight="1">
      <x:c r="A170" s="8" t="str">
        <x:v>B2.1-05</x:v>
      </x:c>
      <x:c r="B170" s="8" t="str">
        <x:v>B2.1</x:v>
      </x:c>
      <x:c r="C170" s="9" t="str">
        <x:v>Form and function</x:v>
      </x:c>
      <x:c r="D170" s="9" t="str">
        <x:v>Membranes and membrane transport</x:v>
      </x:c>
      <x:c r="E170" s="9" t="str">
        <x:v>SL/HL</x:v>
      </x:c>
      <x:c r="F170" s="9" t="str">
        <x:v>Peripheral membrane protein</x:v>
      </x:c>
      <x:c r="G170" s="9" t="str">
        <x:v>A protein loosely attached to a membrane surface or to another membrane protein.</x:v>
      </x:c>
      <x:c r="H170" s="9" t="str">
        <x:v>OpenStax Biology 2e, 5.1–5.4 Plasma Membranes</x:v>
      </x:c>
      <x:c r="I170" s="9" t="str">
        <x:v>https://openstax.org/books/biology-2e/pages/5-introduction</x:v>
      </x:c>
      <x:c r="J170" s="9" t="str">
        <x:v>Verified</x:v>
      </x:c>
    </x:row>
    <x:row r="171" ht="42" customHeight="1">
      <x:c r="A171" s="8" t="str">
        <x:v>B2.1-06</x:v>
      </x:c>
      <x:c r="B171" s="8" t="str">
        <x:v>B2.1</x:v>
      </x:c>
      <x:c r="C171" s="9" t="str">
        <x:v>Form and function</x:v>
      </x:c>
      <x:c r="D171" s="9" t="str">
        <x:v>Membranes and membrane transport</x:v>
      </x:c>
      <x:c r="E171" s="9" t="str">
        <x:v>SL/HL</x:v>
      </x:c>
      <x:c r="F171" s="9" t="str">
        <x:v>Cholesterol</x:v>
      </x:c>
      <x:c r="G171" s="9" t="str">
        <x:v>An animal-membrane steroid that buffers fluidity and reduces permeability to small polar molecules.</x:v>
      </x:c>
      <x:c r="H171" s="9" t="str">
        <x:v>OpenStax Biology 2e, 5.1–5.4 Plasma Membranes</x:v>
      </x:c>
      <x:c r="I171" s="9" t="str">
        <x:v>https://openstax.org/books/biology-2e/pages/5-introduction</x:v>
      </x:c>
      <x:c r="J171" s="9" t="str">
        <x:v>Verified</x:v>
      </x:c>
    </x:row>
    <x:row r="172" ht="42" customHeight="1">
      <x:c r="A172" s="8" t="str">
        <x:v>B2.1-07</x:v>
      </x:c>
      <x:c r="B172" s="8" t="str">
        <x:v>B2.1</x:v>
      </x:c>
      <x:c r="C172" s="9" t="str">
        <x:v>Form and function</x:v>
      </x:c>
      <x:c r="D172" s="9" t="str">
        <x:v>Membranes and membrane transport</x:v>
      </x:c>
      <x:c r="E172" s="9" t="str">
        <x:v>SL/HL</x:v>
      </x:c>
      <x:c r="F172" s="9" t="str">
        <x:v>Glycoprotein</x:v>
      </x:c>
      <x:c r="G172" s="9" t="str">
        <x:v>A protein with covalently attached carbohydrate chains used in recognition, adhesion, or signaling.</x:v>
      </x:c>
      <x:c r="H172" s="9" t="str">
        <x:v>OpenStax Biology 2e, 5.1–5.4 Plasma Membranes</x:v>
      </x:c>
      <x:c r="I172" s="9" t="str">
        <x:v>https://openstax.org/books/biology-2e/pages/5-introduction</x:v>
      </x:c>
      <x:c r="J172" s="9" t="str">
        <x:v>Verified</x:v>
      </x:c>
    </x:row>
    <x:row r="173" ht="42" customHeight="1">
      <x:c r="A173" s="8" t="str">
        <x:v>B2.1-08</x:v>
      </x:c>
      <x:c r="B173" s="8" t="str">
        <x:v>B2.1</x:v>
      </x:c>
      <x:c r="C173" s="9" t="str">
        <x:v>Form and function</x:v>
      </x:c>
      <x:c r="D173" s="9" t="str">
        <x:v>Membranes and membrane transport</x:v>
      </x:c>
      <x:c r="E173" s="9" t="str">
        <x:v>SL/HL</x:v>
      </x:c>
      <x:c r="F173" s="9" t="str">
        <x:v>Glycolipid</x:v>
      </x:c>
      <x:c r="G173" s="9" t="str">
        <x:v>A membrane lipid with an attached carbohydrate that contributes to cell recognition and membrane stability.</x:v>
      </x:c>
      <x:c r="H173" s="9" t="str">
        <x:v>OpenStax Biology 2e, 5.1–5.4 Plasma Membranes</x:v>
      </x:c>
      <x:c r="I173" s="9" t="str">
        <x:v>https://openstax.org/books/biology-2e/pages/5-introduction</x:v>
      </x:c>
      <x:c r="J173" s="9" t="str">
        <x:v>Verified</x:v>
      </x:c>
    </x:row>
    <x:row r="174" ht="42" customHeight="1">
      <x:c r="A174" s="8" t="str">
        <x:v>B2.1-09</x:v>
      </x:c>
      <x:c r="B174" s="8" t="str">
        <x:v>B2.1</x:v>
      </x:c>
      <x:c r="C174" s="9" t="str">
        <x:v>Form and function</x:v>
      </x:c>
      <x:c r="D174" s="9" t="str">
        <x:v>Membranes and membrane transport</x:v>
      </x:c>
      <x:c r="E174" s="9" t="str">
        <x:v>SL/HL</x:v>
      </x:c>
      <x:c r="F174" s="9" t="str">
        <x:v>Selective permeability</x:v>
      </x:c>
      <x:c r="G174" s="9" t="str">
        <x:v>The property of allowing some substances to cross a membrane more readily than others.</x:v>
      </x:c>
      <x:c r="H174" s="9" t="str">
        <x:v>OpenStax Biology 2e, 5.1–5.4 Plasma Membranes</x:v>
      </x:c>
      <x:c r="I174" s="9" t="str">
        <x:v>https://openstax.org/books/biology-2e/pages/5-introduction</x:v>
      </x:c>
      <x:c r="J174" s="9" t="str">
        <x:v>Verified</x:v>
      </x:c>
    </x:row>
    <x:row r="175" ht="42" customHeight="1">
      <x:c r="A175" s="8" t="str">
        <x:v>B2.1-10</x:v>
      </x:c>
      <x:c r="B175" s="8" t="str">
        <x:v>B2.1</x:v>
      </x:c>
      <x:c r="C175" s="9" t="str">
        <x:v>Form and function</x:v>
      </x:c>
      <x:c r="D175" s="9" t="str">
        <x:v>Membranes and membrane transport</x:v>
      </x:c>
      <x:c r="E175" s="9" t="str">
        <x:v>SL/HL</x:v>
      </x:c>
      <x:c r="F175" s="9" t="str">
        <x:v>Simple diffusion</x:v>
      </x:c>
      <x:c r="G175" s="9" t="str">
        <x:v>Net movement down a concentration gradient directly through a membrane without a transport protein.</x:v>
      </x:c>
      <x:c r="H175" s="9" t="str">
        <x:v>OpenStax Biology 2e, 5.1–5.4 Plasma Membranes</x:v>
      </x:c>
      <x:c r="I175" s="9" t="str">
        <x:v>https://openstax.org/books/biology-2e/pages/5-introduction</x:v>
      </x:c>
      <x:c r="J175" s="9" t="str">
        <x:v>Verified</x:v>
      </x:c>
    </x:row>
    <x:row r="176" ht="42" customHeight="1">
      <x:c r="A176" s="8" t="str">
        <x:v>B2.1-11</x:v>
      </x:c>
      <x:c r="B176" s="8" t="str">
        <x:v>B2.1</x:v>
      </x:c>
      <x:c r="C176" s="9" t="str">
        <x:v>Form and function</x:v>
      </x:c>
      <x:c r="D176" s="9" t="str">
        <x:v>Membranes and membrane transport</x:v>
      </x:c>
      <x:c r="E176" s="9" t="str">
        <x:v>SL/HL</x:v>
      </x:c>
      <x:c r="F176" s="9" t="str">
        <x:v>Facilitated diffusion</x:v>
      </x:c>
      <x:c r="G176" s="9" t="str">
        <x:v>Passive movement down an electrochemical gradient through a channel or carrier protein.</x:v>
      </x:c>
      <x:c r="H176" s="9" t="str">
        <x:v>OpenStax Biology 2e, 5.1–5.4 Plasma Membranes</x:v>
      </x:c>
      <x:c r="I176" s="9" t="str">
        <x:v>https://openstax.org/books/biology-2e/pages/5-introduction</x:v>
      </x:c>
      <x:c r="J176" s="9" t="str">
        <x:v>Verified</x:v>
      </x:c>
    </x:row>
    <x:row r="177" ht="42" customHeight="1">
      <x:c r="A177" s="8" t="str">
        <x:v>B2.1-12</x:v>
      </x:c>
      <x:c r="B177" s="8" t="str">
        <x:v>B2.1</x:v>
      </x:c>
      <x:c r="C177" s="9" t="str">
        <x:v>Form and function</x:v>
      </x:c>
      <x:c r="D177" s="9" t="str">
        <x:v>Membranes and membrane transport</x:v>
      </x:c>
      <x:c r="E177" s="9" t="str">
        <x:v>SL/HL</x:v>
      </x:c>
      <x:c r="F177" s="9" t="str">
        <x:v>Channel protein</x:v>
      </x:c>
      <x:c r="G177" s="9" t="str">
        <x:v>A membrane protein forming a hydrophilic pore through which selected particles can pass.</x:v>
      </x:c>
      <x:c r="H177" s="9" t="str">
        <x:v>OpenStax Biology 2e, 5.1–5.4 Plasma Membranes</x:v>
      </x:c>
      <x:c r="I177" s="9" t="str">
        <x:v>https://openstax.org/books/biology-2e/pages/5-introduction</x:v>
      </x:c>
      <x:c r="J177" s="9" t="str">
        <x:v>Verified</x:v>
      </x:c>
    </x:row>
    <x:row r="178" ht="42" customHeight="1">
      <x:c r="A178" s="8" t="str">
        <x:v>B2.1-13</x:v>
      </x:c>
      <x:c r="B178" s="8" t="str">
        <x:v>B2.1</x:v>
      </x:c>
      <x:c r="C178" s="9" t="str">
        <x:v>Form and function</x:v>
      </x:c>
      <x:c r="D178" s="9" t="str">
        <x:v>Membranes and membrane transport</x:v>
      </x:c>
      <x:c r="E178" s="9" t="str">
        <x:v>SL/HL</x:v>
      </x:c>
      <x:c r="F178" s="9" t="str">
        <x:v>Carrier protein</x:v>
      </x:c>
      <x:c r="G178" s="9" t="str">
        <x:v>A membrane protein that binds a solute and changes shape to move it across the bilayer.</x:v>
      </x:c>
      <x:c r="H178" s="9" t="str">
        <x:v>OpenStax Biology 2e, 5.1–5.4 Plasma Membranes</x:v>
      </x:c>
      <x:c r="I178" s="9" t="str">
        <x:v>https://openstax.org/books/biology-2e/pages/5-introduction</x:v>
      </x:c>
      <x:c r="J178" s="9" t="str">
        <x:v>Verified</x:v>
      </x:c>
    </x:row>
    <x:row r="179" ht="42" customHeight="1">
      <x:c r="A179" s="8" t="str">
        <x:v>B2.1-14</x:v>
      </x:c>
      <x:c r="B179" s="8" t="str">
        <x:v>B2.1</x:v>
      </x:c>
      <x:c r="C179" s="9" t="str">
        <x:v>Form and function</x:v>
      </x:c>
      <x:c r="D179" s="9" t="str">
        <x:v>Membranes and membrane transport</x:v>
      </x:c>
      <x:c r="E179" s="9" t="str">
        <x:v>SL/HL</x:v>
      </x:c>
      <x:c r="F179" s="9" t="str">
        <x:v>Active transport</x:v>
      </x:c>
      <x:c r="G179" s="9" t="str">
        <x:v>Movement against an electrochemical gradient using energy and a specific membrane protein.</x:v>
      </x:c>
      <x:c r="H179" s="9" t="str">
        <x:v>OpenStax Biology 2e, 5.1–5.4 Plasma Membranes</x:v>
      </x:c>
      <x:c r="I179" s="9" t="str">
        <x:v>https://openstax.org/books/biology-2e/pages/5-introduction</x:v>
      </x:c>
      <x:c r="J179" s="9" t="str">
        <x:v>Verified</x:v>
      </x:c>
    </x:row>
    <x:row r="180" ht="42" customHeight="1">
      <x:c r="A180" s="8" t="str">
        <x:v>B2.1-15</x:v>
      </x:c>
      <x:c r="B180" s="8" t="str">
        <x:v>B2.1</x:v>
      </x:c>
      <x:c r="C180" s="9" t="str">
        <x:v>Form and function</x:v>
      </x:c>
      <x:c r="D180" s="9" t="str">
        <x:v>Membranes and membrane transport</x:v>
      </x:c>
      <x:c r="E180" s="9" t="str">
        <x:v>SL/HL</x:v>
      </x:c>
      <x:c r="F180" s="9" t="str">
        <x:v>Endocytosis</x:v>
      </x:c>
      <x:c r="G180" s="9" t="str">
        <x:v>Bulk entry into a cell by invagination of the plasma membrane and formation of a vesicle.</x:v>
      </x:c>
      <x:c r="H180" s="9" t="str">
        <x:v>OpenStax Biology 2e, 5.1–5.4 Plasma Membranes</x:v>
      </x:c>
      <x:c r="I180" s="9" t="str">
        <x:v>https://openstax.org/books/biology-2e/pages/5-introduction</x:v>
      </x:c>
      <x:c r="J180" s="9" t="str">
        <x:v>Verified</x:v>
      </x:c>
    </x:row>
    <x:row r="181" ht="42" customHeight="1">
      <x:c r="A181" s="8" t="str">
        <x:v>B2.1-16</x:v>
      </x:c>
      <x:c r="B181" s="8" t="str">
        <x:v>B2.1</x:v>
      </x:c>
      <x:c r="C181" s="9" t="str">
        <x:v>Form and function</x:v>
      </x:c>
      <x:c r="D181" s="9" t="str">
        <x:v>Membranes and membrane transport</x:v>
      </x:c>
      <x:c r="E181" s="9" t="str">
        <x:v>SL/HL</x:v>
      </x:c>
      <x:c r="F181" s="9" t="str">
        <x:v>Exocytosis</x:v>
      </x:c>
      <x:c r="G181" s="9" t="str">
        <x:v>Bulk export from a cell when an internal vesicle fuses with the plasma membrane.</x:v>
      </x:c>
      <x:c r="H181" s="9" t="str">
        <x:v>OpenStax Biology 2e, 5.1–5.4 Plasma Membranes</x:v>
      </x:c>
      <x:c r="I181" s="9" t="str">
        <x:v>https://openstax.org/books/biology-2e/pages/5-introduction</x:v>
      </x:c>
      <x:c r="J181" s="9" t="str">
        <x:v>Verified</x:v>
      </x:c>
    </x:row>
    <x:row r="182" ht="42" customHeight="1">
      <x:c r="A182" s="8" t="str">
        <x:v>B2.2-01</x:v>
      </x:c>
      <x:c r="B182" s="8" t="str">
        <x:v>B2.2</x:v>
      </x:c>
      <x:c r="C182" s="9" t="str">
        <x:v>Form and function</x:v>
      </x:c>
      <x:c r="D182" s="9" t="str">
        <x:v>Organelles and compartmentalization</x:v>
      </x:c>
      <x:c r="E182" s="9" t="str">
        <x:v>SL/HL</x:v>
      </x:c>
      <x:c r="F182" s="9" t="str">
        <x:v>Nucleus</x:v>
      </x:c>
      <x:c r="G182" s="9" t="str">
        <x:v>A double-membrane organelle containing most of a eukaryotic cell’s genetic material.</x:v>
      </x:c>
      <x:c r="H182" s="9" t="str">
        <x:v>OpenStax Biology 2e, 4.3 Eukaryotic Cells</x:v>
      </x:c>
      <x:c r="I182" s="9" t="str">
        <x:v>https://openstax.org/books/biology-2e/pages/4-3-eukaryotic-cells</x:v>
      </x:c>
      <x:c r="J182" s="9" t="str">
        <x:v>Verified</x:v>
      </x:c>
    </x:row>
    <x:row r="183" ht="42" customHeight="1">
      <x:c r="A183" s="8" t="str">
        <x:v>B2.2-02</x:v>
      </x:c>
      <x:c r="B183" s="8" t="str">
        <x:v>B2.2</x:v>
      </x:c>
      <x:c r="C183" s="9" t="str">
        <x:v>Form and function</x:v>
      </x:c>
      <x:c r="D183" s="9" t="str">
        <x:v>Organelles and compartmentalization</x:v>
      </x:c>
      <x:c r="E183" s="9" t="str">
        <x:v>SL/HL</x:v>
      </x:c>
      <x:c r="F183" s="9" t="str">
        <x:v>Nuclear envelope</x:v>
      </x:c>
      <x:c r="G183" s="9" t="str">
        <x:v>A double membrane with nuclear pores that regulates exchange between the nucleus and cytoplasm.</x:v>
      </x:c>
      <x:c r="H183" s="9" t="str">
        <x:v>OpenStax Biology 2e, 4.3 Eukaryotic Cells</x:v>
      </x:c>
      <x:c r="I183" s="9" t="str">
        <x:v>https://openstax.org/books/biology-2e/pages/4-3-eukaryotic-cells</x:v>
      </x:c>
      <x:c r="J183" s="9" t="str">
        <x:v>Verified</x:v>
      </x:c>
    </x:row>
    <x:row r="184" ht="42" customHeight="1">
      <x:c r="A184" s="8" t="str">
        <x:v>B2.2-03</x:v>
      </x:c>
      <x:c r="B184" s="8" t="str">
        <x:v>B2.2</x:v>
      </x:c>
      <x:c r="C184" s="9" t="str">
        <x:v>Form and function</x:v>
      </x:c>
      <x:c r="D184" s="9" t="str">
        <x:v>Organelles and compartmentalization</x:v>
      </x:c>
      <x:c r="E184" s="9" t="str">
        <x:v>SL/HL</x:v>
      </x:c>
      <x:c r="F184" s="9" t="str">
        <x:v>Nucleolus</x:v>
      </x:c>
      <x:c r="G184" s="9" t="str">
        <x:v>A nuclear region where ribosomal RNA is transcribed and ribosomal subunits begin assembly.</x:v>
      </x:c>
      <x:c r="H184" s="9" t="str">
        <x:v>OpenStax Biology 2e, 4.3 Eukaryotic Cells</x:v>
      </x:c>
      <x:c r="I184" s="9" t="str">
        <x:v>https://openstax.org/books/biology-2e/pages/4-3-eukaryotic-cells</x:v>
      </x:c>
      <x:c r="J184" s="9" t="str">
        <x:v>Verified</x:v>
      </x:c>
    </x:row>
    <x:row r="185" ht="42" customHeight="1">
      <x:c r="A185" s="8" t="str">
        <x:v>B2.2-04</x:v>
      </x:c>
      <x:c r="B185" s="8" t="str">
        <x:v>B2.2</x:v>
      </x:c>
      <x:c r="C185" s="9" t="str">
        <x:v>Form and function</x:v>
      </x:c>
      <x:c r="D185" s="9" t="str">
        <x:v>Organelles and compartmentalization</x:v>
      </x:c>
      <x:c r="E185" s="9" t="str">
        <x:v>SL/HL</x:v>
      </x:c>
      <x:c r="F185" s="9" t="str">
        <x:v>Rough endoplasmic reticulum</x:v>
      </x:c>
      <x:c r="G185" s="9" t="str">
        <x:v>A membrane network bearing ribosomes that synthesizes and begins processing secreted or membrane proteins.</x:v>
      </x:c>
      <x:c r="H185" s="9" t="str">
        <x:v>OpenStax Biology 2e, 4.3 Eukaryotic Cells</x:v>
      </x:c>
      <x:c r="I185" s="9" t="str">
        <x:v>https://openstax.org/books/biology-2e/pages/4-3-eukaryotic-cells</x:v>
      </x:c>
      <x:c r="J185" s="9" t="str">
        <x:v>Verified</x:v>
      </x:c>
    </x:row>
    <x:row r="186" ht="42" customHeight="1">
      <x:c r="A186" s="8" t="str">
        <x:v>B2.2-05</x:v>
      </x:c>
      <x:c r="B186" s="8" t="str">
        <x:v>B2.2</x:v>
      </x:c>
      <x:c r="C186" s="9" t="str">
        <x:v>Form and function</x:v>
      </x:c>
      <x:c r="D186" s="9" t="str">
        <x:v>Organelles and compartmentalization</x:v>
      </x:c>
      <x:c r="E186" s="9" t="str">
        <x:v>SL/HL</x:v>
      </x:c>
      <x:c r="F186" s="9" t="str">
        <x:v>Smooth endoplasmic reticulum</x:v>
      </x:c>
      <x:c r="G186" s="9" t="str">
        <x:v>A ribosome-free membrane network involved in lipid synthesis, detoxification, and calcium storage.</x:v>
      </x:c>
      <x:c r="H186" s="9" t="str">
        <x:v>OpenStax Biology 2e, 4.3 Eukaryotic Cells</x:v>
      </x:c>
      <x:c r="I186" s="9" t="str">
        <x:v>https://openstax.org/books/biology-2e/pages/4-3-eukaryotic-cells</x:v>
      </x:c>
      <x:c r="J186" s="9" t="str">
        <x:v>Verified</x:v>
      </x:c>
    </x:row>
    <x:row r="187" ht="42" customHeight="1">
      <x:c r="A187" s="8" t="str">
        <x:v>B2.2-06</x:v>
      </x:c>
      <x:c r="B187" s="8" t="str">
        <x:v>B2.2</x:v>
      </x:c>
      <x:c r="C187" s="9" t="str">
        <x:v>Form and function</x:v>
      </x:c>
      <x:c r="D187" s="9" t="str">
        <x:v>Organelles and compartmentalization</x:v>
      </x:c>
      <x:c r="E187" s="9" t="str">
        <x:v>SL/HL</x:v>
      </x:c>
      <x:c r="F187" s="9" t="str">
        <x:v>Golgi apparatus</x:v>
      </x:c>
      <x:c r="G187" s="9" t="str">
        <x:v>Stacks of membranes that modify, sort, and package proteins and lipids into vesicles.</x:v>
      </x:c>
      <x:c r="H187" s="9" t="str">
        <x:v>OpenStax Biology 2e, 4.3 Eukaryotic Cells</x:v>
      </x:c>
      <x:c r="I187" s="9" t="str">
        <x:v>https://openstax.org/books/biology-2e/pages/4-3-eukaryotic-cells</x:v>
      </x:c>
      <x:c r="J187" s="9" t="str">
        <x:v>Verified</x:v>
      </x:c>
    </x:row>
    <x:row r="188" ht="42" customHeight="1">
      <x:c r="A188" s="8" t="str">
        <x:v>B2.2-07</x:v>
      </x:c>
      <x:c r="B188" s="8" t="str">
        <x:v>B2.2</x:v>
      </x:c>
      <x:c r="C188" s="9" t="str">
        <x:v>Form and function</x:v>
      </x:c>
      <x:c r="D188" s="9" t="str">
        <x:v>Organelles and compartmentalization</x:v>
      </x:c>
      <x:c r="E188" s="9" t="str">
        <x:v>SL/HL</x:v>
      </x:c>
      <x:c r="F188" s="9" t="str">
        <x:v>Lysosome</x:v>
      </x:c>
      <x:c r="G188" s="9" t="str">
        <x:v>An acidic, enzyme-filled organelle that digests macromolecules and worn cellular components.</x:v>
      </x:c>
      <x:c r="H188" s="9" t="str">
        <x:v>OpenStax Biology 2e, 4.3 Eukaryotic Cells</x:v>
      </x:c>
      <x:c r="I188" s="9" t="str">
        <x:v>https://openstax.org/books/biology-2e/pages/4-3-eukaryotic-cells</x:v>
      </x:c>
      <x:c r="J188" s="9" t="str">
        <x:v>Verified</x:v>
      </x:c>
    </x:row>
    <x:row r="189" ht="42" customHeight="1">
      <x:c r="A189" s="8" t="str">
        <x:v>B2.2-08</x:v>
      </x:c>
      <x:c r="B189" s="8" t="str">
        <x:v>B2.2</x:v>
      </x:c>
      <x:c r="C189" s="9" t="str">
        <x:v>Form and function</x:v>
      </x:c>
      <x:c r="D189" s="9" t="str">
        <x:v>Organelles and compartmentalization</x:v>
      </x:c>
      <x:c r="E189" s="9" t="str">
        <x:v>SL/HL</x:v>
      </x:c>
      <x:c r="F189" s="9" t="str">
        <x:v>Peroxisome</x:v>
      </x:c>
      <x:c r="G189" s="9" t="str">
        <x:v>An organelle that oxidizes selected molecules and breaks down hydrogen peroxide using catalase.</x:v>
      </x:c>
      <x:c r="H189" s="9" t="str">
        <x:v>OpenStax Biology 2e, 4.3 Eukaryotic Cells</x:v>
      </x:c>
      <x:c r="I189" s="9" t="str">
        <x:v>https://openstax.org/books/biology-2e/pages/4-3-eukaryotic-cells</x:v>
      </x:c>
      <x:c r="J189" s="9" t="str">
        <x:v>Verified</x:v>
      </x:c>
    </x:row>
    <x:row r="190" ht="42" customHeight="1">
      <x:c r="A190" s="8" t="str">
        <x:v>B2.2-09</x:v>
      </x:c>
      <x:c r="B190" s="8" t="str">
        <x:v>B2.2</x:v>
      </x:c>
      <x:c r="C190" s="9" t="str">
        <x:v>Form and function</x:v>
      </x:c>
      <x:c r="D190" s="9" t="str">
        <x:v>Organelles and compartmentalization</x:v>
      </x:c>
      <x:c r="E190" s="9" t="str">
        <x:v>SL/HL</x:v>
      </x:c>
      <x:c r="F190" s="9" t="str">
        <x:v>Mitochondrion</x:v>
      </x:c>
      <x:c r="G190" s="9" t="str">
        <x:v>A double-membrane organelle where aerobic respiration produces most cellular ATP.</x:v>
      </x:c>
      <x:c r="H190" s="9" t="str">
        <x:v>OpenStax Biology 2e, 4.3 Eukaryotic Cells</x:v>
      </x:c>
      <x:c r="I190" s="9" t="str">
        <x:v>https://openstax.org/books/biology-2e/pages/4-3-eukaryotic-cells</x:v>
      </x:c>
      <x:c r="J190" s="9" t="str">
        <x:v>Verified</x:v>
      </x:c>
    </x:row>
    <x:row r="191" ht="42" customHeight="1">
      <x:c r="A191" s="8" t="str">
        <x:v>B2.2-10</x:v>
      </x:c>
      <x:c r="B191" s="8" t="str">
        <x:v>B2.2</x:v>
      </x:c>
      <x:c r="C191" s="9" t="str">
        <x:v>Form and function</x:v>
      </x:c>
      <x:c r="D191" s="9" t="str">
        <x:v>Organelles and compartmentalization</x:v>
      </x:c>
      <x:c r="E191" s="9" t="str">
        <x:v>SL/HL</x:v>
      </x:c>
      <x:c r="F191" s="9" t="str">
        <x:v>Chloroplast</x:v>
      </x:c>
      <x:c r="G191" s="9" t="str">
        <x:v>A photosynthetic organelle in plants and algae containing thylakoids, stroma, and its own DNA.</x:v>
      </x:c>
      <x:c r="H191" s="9" t="str">
        <x:v>OpenStax Biology 2e, 4.3 Eukaryotic Cells</x:v>
      </x:c>
      <x:c r="I191" s="9" t="str">
        <x:v>https://openstax.org/books/biology-2e/pages/4-3-eukaryotic-cells</x:v>
      </x:c>
      <x:c r="J191" s="9" t="str">
        <x:v>Verified</x:v>
      </x:c>
    </x:row>
    <x:row r="192" ht="42" customHeight="1">
      <x:c r="A192" s="8" t="str">
        <x:v>B2.2-11</x:v>
      </x:c>
      <x:c r="B192" s="8" t="str">
        <x:v>B2.2</x:v>
      </x:c>
      <x:c r="C192" s="9" t="str">
        <x:v>Form and function</x:v>
      </x:c>
      <x:c r="D192" s="9" t="str">
        <x:v>Organelles and compartmentalization</x:v>
      </x:c>
      <x:c r="E192" s="9" t="str">
        <x:v>SL/HL</x:v>
      </x:c>
      <x:c r="F192" s="9" t="str">
        <x:v>Centriole</x:v>
      </x:c>
      <x:c r="G192" s="9" t="str">
        <x:v>A cylindrical microtubule structure involved in organizing animal-cell spindle microtubules and basal bodies.</x:v>
      </x:c>
      <x:c r="H192" s="9" t="str">
        <x:v>OpenStax Biology 2e, 4.3 Eukaryotic Cells</x:v>
      </x:c>
      <x:c r="I192" s="9" t="str">
        <x:v>https://openstax.org/books/biology-2e/pages/4-3-eukaryotic-cells</x:v>
      </x:c>
      <x:c r="J192" s="9" t="str">
        <x:v>Verified</x:v>
      </x:c>
    </x:row>
    <x:row r="193" ht="42" customHeight="1">
      <x:c r="A193" s="8" t="str">
        <x:v>B2.2-12</x:v>
      </x:c>
      <x:c r="B193" s="8" t="str">
        <x:v>B2.2</x:v>
      </x:c>
      <x:c r="C193" s="9" t="str">
        <x:v>Form and function</x:v>
      </x:c>
      <x:c r="D193" s="9" t="str">
        <x:v>Organelles and compartmentalization</x:v>
      </x:c>
      <x:c r="E193" s="9" t="str">
        <x:v>SL/HL</x:v>
      </x:c>
      <x:c r="F193" s="9" t="str">
        <x:v>Transport vesicle</x:v>
      </x:c>
      <x:c r="G193" s="9" t="str">
        <x:v>A small membrane-bound compartment that moves materials between organelles or the plasma membrane.</x:v>
      </x:c>
      <x:c r="H193" s="9" t="str">
        <x:v>OpenStax Biology 2e, 4.3 Eukaryotic Cells</x:v>
      </x:c>
      <x:c r="I193" s="9" t="str">
        <x:v>https://openstax.org/books/biology-2e/pages/4-3-eukaryotic-cells</x:v>
      </x:c>
      <x:c r="J193" s="9" t="str">
        <x:v>Verified</x:v>
      </x:c>
    </x:row>
    <x:row r="194" ht="42" customHeight="1">
      <x:c r="A194" s="8" t="str">
        <x:v>B2.2-13</x:v>
      </x:c>
      <x:c r="B194" s="8" t="str">
        <x:v>B2.2</x:v>
      </x:c>
      <x:c r="C194" s="9" t="str">
        <x:v>Form and function</x:v>
      </x:c>
      <x:c r="D194" s="9" t="str">
        <x:v>Organelles and compartmentalization</x:v>
      </x:c>
      <x:c r="E194" s="9" t="str">
        <x:v>SL/HL</x:v>
      </x:c>
      <x:c r="F194" s="9" t="str">
        <x:v>Central vacuole</x:v>
      </x:c>
      <x:c r="G194" s="9" t="str">
        <x:v>A large plant-cell compartment that stores solutes and helps maintain turgor pressure.</x:v>
      </x:c>
      <x:c r="H194" s="9" t="str">
        <x:v>OpenStax Biology 2e, 4.3 Eukaryotic Cells</x:v>
      </x:c>
      <x:c r="I194" s="9" t="str">
        <x:v>https://openstax.org/books/biology-2e/pages/4-3-eukaryotic-cells</x:v>
      </x:c>
      <x:c r="J194" s="9" t="str">
        <x:v>Verified</x:v>
      </x:c>
    </x:row>
    <x:row r="195" ht="42" customHeight="1">
      <x:c r="A195" s="8" t="str">
        <x:v>B2.2-14</x:v>
      </x:c>
      <x:c r="B195" s="8" t="str">
        <x:v>B2.2</x:v>
      </x:c>
      <x:c r="C195" s="9" t="str">
        <x:v>Form and function</x:v>
      </x:c>
      <x:c r="D195" s="9" t="str">
        <x:v>Organelles and compartmentalization</x:v>
      </x:c>
      <x:c r="E195" s="9" t="str">
        <x:v>SL/HL</x:v>
      </x:c>
      <x:c r="F195" s="9" t="str">
        <x:v>Cytoskeleton</x:v>
      </x:c>
      <x:c r="G195" s="9" t="str">
        <x:v>A dynamic network of protein filaments that supports cell shape, transport, division, and movement.</x:v>
      </x:c>
      <x:c r="H195" s="9" t="str">
        <x:v>OpenStax Biology 2e, 4.3 Eukaryotic Cells</x:v>
      </x:c>
      <x:c r="I195" s="9" t="str">
        <x:v>https://openstax.org/books/biology-2e/pages/4-3-eukaryotic-cells</x:v>
      </x:c>
      <x:c r="J195" s="9" t="str">
        <x:v>Verified</x:v>
      </x:c>
    </x:row>
    <x:row r="196" ht="42" customHeight="1">
      <x:c r="A196" s="8" t="str">
        <x:v>B2.2-15</x:v>
      </x:c>
      <x:c r="B196" s="8" t="str">
        <x:v>B2.2</x:v>
      </x:c>
      <x:c r="C196" s="9" t="str">
        <x:v>Form and function</x:v>
      </x:c>
      <x:c r="D196" s="9" t="str">
        <x:v>Organelles and compartmentalization</x:v>
      </x:c>
      <x:c r="E196" s="9" t="str">
        <x:v>SL/HL</x:v>
      </x:c>
      <x:c r="F196" s="9" t="str">
        <x:v>Endomembrane system</x:v>
      </x:c>
      <x:c r="G196" s="9" t="str">
        <x:v>Interconnected or vesicle-linked membranes that synthesize, modify, and transport cell products.</x:v>
      </x:c>
      <x:c r="H196" s="9" t="str">
        <x:v>OpenStax Biology 2e, 4.3 Eukaryotic Cells</x:v>
      </x:c>
      <x:c r="I196" s="9" t="str">
        <x:v>https://openstax.org/books/biology-2e/pages/4-3-eukaryotic-cells</x:v>
      </x:c>
      <x:c r="J196" s="9" t="str">
        <x:v>Verified</x:v>
      </x:c>
    </x:row>
    <x:row r="197" ht="42" customHeight="1">
      <x:c r="A197" s="8" t="str">
        <x:v>B2.2-16</x:v>
      </x:c>
      <x:c r="B197" s="8" t="str">
        <x:v>B2.2</x:v>
      </x:c>
      <x:c r="C197" s="9" t="str">
        <x:v>Form and function</x:v>
      </x:c>
      <x:c r="D197" s="9" t="str">
        <x:v>Organelles and compartmentalization</x:v>
      </x:c>
      <x:c r="E197" s="9" t="str">
        <x:v>SL/HL</x:v>
      </x:c>
      <x:c r="F197" s="9" t="str">
        <x:v>Compartmentalization</x:v>
      </x:c>
      <x:c r="G197" s="9" t="str">
        <x:v>Separation of cellular processes into distinct regions, allowing specialized and independently regulated conditions.</x:v>
      </x:c>
      <x:c r="H197" s="9" t="str">
        <x:v>OpenStax Biology 2e, 4.3 Eukaryotic Cells</x:v>
      </x:c>
      <x:c r="I197" s="9" t="str">
        <x:v>https://openstax.org/books/biology-2e/pages/4-3-eukaryotic-cells</x:v>
      </x:c>
      <x:c r="J197" s="9" t="str">
        <x:v>Verified</x:v>
      </x:c>
    </x:row>
    <x:row r="198" ht="42" customHeight="1">
      <x:c r="A198" s="8" t="str">
        <x:v>B2.3-01</x:v>
      </x:c>
      <x:c r="B198" s="8" t="str">
        <x:v>B2.3</x:v>
      </x:c>
      <x:c r="C198" s="9" t="str">
        <x:v>Form and function</x:v>
      </x:c>
      <x:c r="D198" s="9" t="str">
        <x:v>Cell specialization</x:v>
      </x:c>
      <x:c r="E198" s="9" t="str">
        <x:v>SL/HL</x:v>
      </x:c>
      <x:c r="F198" s="9" t="str">
        <x:v>Cell differentiation</x:v>
      </x:c>
      <x:c r="G198" s="9" t="str">
        <x:v>Development of distinct cell structures and functions through regulated changes in gene activity.</x:v>
      </x:c>
      <x:c r="H198" s="9" t="str">
        <x:v>OpenStax Biology 2e, 4.1 Studying Cells</x:v>
      </x:c>
      <x:c r="I198" s="9" t="str">
        <x:v>https://openstax.org/books/biology-2e/pages/4-1-studying-cells</x:v>
      </x:c>
      <x:c r="J198" s="9" t="str">
        <x:v>Verified</x:v>
      </x:c>
    </x:row>
    <x:row r="199" ht="42" customHeight="1">
      <x:c r="A199" s="8" t="str">
        <x:v>B2.3-02</x:v>
      </x:c>
      <x:c r="B199" s="8" t="str">
        <x:v>B2.3</x:v>
      </x:c>
      <x:c r="C199" s="9" t="str">
        <x:v>Form and function</x:v>
      </x:c>
      <x:c r="D199" s="9" t="str">
        <x:v>Cell specialization</x:v>
      </x:c>
      <x:c r="E199" s="9" t="str">
        <x:v>SL/HL</x:v>
      </x:c>
      <x:c r="F199" s="9" t="str">
        <x:v>Stem cell</x:v>
      </x:c>
      <x:c r="G199" s="9" t="str">
        <x:v>An unspecialized cell able to self-renew and produce one or more differentiated cell types.</x:v>
      </x:c>
      <x:c r="H199" s="9" t="str">
        <x:v>OpenStax Biology 2e, 4.1 Studying Cells</x:v>
      </x:c>
      <x:c r="I199" s="9" t="str">
        <x:v>https://openstax.org/books/biology-2e/pages/4-1-studying-cells</x:v>
      </x:c>
      <x:c r="J199" s="9" t="str">
        <x:v>Verified</x:v>
      </x:c>
    </x:row>
    <x:row r="200" ht="42" customHeight="1">
      <x:c r="A200" s="8" t="str">
        <x:v>B2.3-03</x:v>
      </x:c>
      <x:c r="B200" s="8" t="str">
        <x:v>B2.3</x:v>
      </x:c>
      <x:c r="C200" s="9" t="str">
        <x:v>Form and function</x:v>
      </x:c>
      <x:c r="D200" s="9" t="str">
        <x:v>Cell specialization</x:v>
      </x:c>
      <x:c r="E200" s="9" t="str">
        <x:v>SL/HL</x:v>
      </x:c>
      <x:c r="F200" s="9" t="str">
        <x:v>Totipotent</x:v>
      </x:c>
      <x:c r="G200" s="9" t="str">
        <x:v>Able to generate every cell type of an organism, including extraembryonic tissues.</x:v>
      </x:c>
      <x:c r="H200" s="9" t="str">
        <x:v>OpenStax Biology 2e, 4.1 Studying Cells</x:v>
      </x:c>
      <x:c r="I200" s="9" t="str">
        <x:v>https://openstax.org/books/biology-2e/pages/4-1-studying-cells</x:v>
      </x:c>
      <x:c r="J200" s="9" t="str">
        <x:v>Verified</x:v>
      </x:c>
    </x:row>
    <x:row r="201" ht="42" customHeight="1">
      <x:c r="A201" s="8" t="str">
        <x:v>B2.3-04</x:v>
      </x:c>
      <x:c r="B201" s="8" t="str">
        <x:v>B2.3</x:v>
      </x:c>
      <x:c r="C201" s="9" t="str">
        <x:v>Form and function</x:v>
      </x:c>
      <x:c r="D201" s="9" t="str">
        <x:v>Cell specialization</x:v>
      </x:c>
      <x:c r="E201" s="9" t="str">
        <x:v>SL/HL</x:v>
      </x:c>
      <x:c r="F201" s="9" t="str">
        <x:v>Pluripotent</x:v>
      </x:c>
      <x:c r="G201" s="9" t="str">
        <x:v>Able to generate nearly any body cell type but not an entire organism with supporting tissues.</x:v>
      </x:c>
      <x:c r="H201" s="9" t="str">
        <x:v>OpenStax Biology 2e, 4.1 Studying Cells</x:v>
      </x:c>
      <x:c r="I201" s="9" t="str">
        <x:v>https://openstax.org/books/biology-2e/pages/4-1-studying-cells</x:v>
      </x:c>
      <x:c r="J201" s="9" t="str">
        <x:v>Verified</x:v>
      </x:c>
    </x:row>
    <x:row r="202" ht="42" customHeight="1">
      <x:c r="A202" s="8" t="str">
        <x:v>B2.3-05</x:v>
      </x:c>
      <x:c r="B202" s="8" t="str">
        <x:v>B2.3</x:v>
      </x:c>
      <x:c r="C202" s="9" t="str">
        <x:v>Form and function</x:v>
      </x:c>
      <x:c r="D202" s="9" t="str">
        <x:v>Cell specialization</x:v>
      </x:c>
      <x:c r="E202" s="9" t="str">
        <x:v>SL/HL</x:v>
      </x:c>
      <x:c r="F202" s="9" t="str">
        <x:v>Multipotent</x:v>
      </x:c>
      <x:c r="G202" s="9" t="str">
        <x:v>Able to generate several related cell types within a particular tissue or lineage.</x:v>
      </x:c>
      <x:c r="H202" s="9" t="str">
        <x:v>OpenStax Biology 2e, 4.1 Studying Cells</x:v>
      </x:c>
      <x:c r="I202" s="9" t="str">
        <x:v>https://openstax.org/books/biology-2e/pages/4-1-studying-cells</x:v>
      </x:c>
      <x:c r="J202" s="9" t="str">
        <x:v>Verified</x:v>
      </x:c>
    </x:row>
    <x:row r="203" ht="42" customHeight="1">
      <x:c r="A203" s="8" t="str">
        <x:v>B2.3-06</x:v>
      </x:c>
      <x:c r="B203" s="8" t="str">
        <x:v>B2.3</x:v>
      </x:c>
      <x:c r="C203" s="9" t="str">
        <x:v>Form and function</x:v>
      </x:c>
      <x:c r="D203" s="9" t="str">
        <x:v>Cell specialization</x:v>
      </x:c>
      <x:c r="E203" s="9" t="str">
        <x:v>SL/HL</x:v>
      </x:c>
      <x:c r="F203" s="9" t="str">
        <x:v>Surface-area-to-volume ratio</x:v>
      </x:c>
      <x:c r="G203" s="9" t="str">
        <x:v>A size relationship that generally decreases as a cell grows, limiting exchange across its boundary.</x:v>
      </x:c>
      <x:c r="H203" s="9" t="str">
        <x:v>OpenStax Biology 2e, 4.1 Studying Cells</x:v>
      </x:c>
      <x:c r="I203" s="9" t="str">
        <x:v>https://openstax.org/books/biology-2e/pages/4-1-studying-cells</x:v>
      </x:c>
      <x:c r="J203" s="9" t="str">
        <x:v>Verified</x:v>
      </x:c>
    </x:row>
    <x:row r="204" ht="42" customHeight="1">
      <x:c r="A204" s="8" t="str">
        <x:v>B2.3-07</x:v>
      </x:c>
      <x:c r="B204" s="8" t="str">
        <x:v>B2.3</x:v>
      </x:c>
      <x:c r="C204" s="9" t="str">
        <x:v>Form and function</x:v>
      </x:c>
      <x:c r="D204" s="9" t="str">
        <x:v>Cell specialization</x:v>
      </x:c>
      <x:c r="E204" s="9" t="str">
        <x:v>SL/HL</x:v>
      </x:c>
      <x:c r="F204" s="9" t="str">
        <x:v>Erythrocyte</x:v>
      </x:c>
      <x:c r="G204" s="9" t="str">
        <x:v>A red blood cell specialized for gas transport by its biconcave shape and high hemoglobin content.</x:v>
      </x:c>
      <x:c r="H204" s="9" t="str">
        <x:v>OpenStax Biology 2e, 4.1 Studying Cells</x:v>
      </x:c>
      <x:c r="I204" s="9" t="str">
        <x:v>https://openstax.org/books/biology-2e/pages/4-1-studying-cells</x:v>
      </x:c>
      <x:c r="J204" s="9" t="str">
        <x:v>Verified</x:v>
      </x:c>
    </x:row>
    <x:row r="205" ht="42" customHeight="1">
      <x:c r="A205" s="8" t="str">
        <x:v>B2.3-08</x:v>
      </x:c>
      <x:c r="B205" s="8" t="str">
        <x:v>B2.3</x:v>
      </x:c>
      <x:c r="C205" s="9" t="str">
        <x:v>Form and function</x:v>
      </x:c>
      <x:c r="D205" s="9" t="str">
        <x:v>Cell specialization</x:v>
      </x:c>
      <x:c r="E205" s="9" t="str">
        <x:v>SL/HL</x:v>
      </x:c>
      <x:c r="F205" s="9" t="str">
        <x:v>Sperm cell</x:v>
      </x:c>
      <x:c r="G205" s="9" t="str">
        <x:v>A motile male gamete specialized to deliver a haploid nucleus to an egg.</x:v>
      </x:c>
      <x:c r="H205" s="9" t="str">
        <x:v>OpenStax Biology 2e, 4.1 Studying Cells</x:v>
      </x:c>
      <x:c r="I205" s="9" t="str">
        <x:v>https://openstax.org/books/biology-2e/pages/4-1-studying-cells</x:v>
      </x:c>
      <x:c r="J205" s="9" t="str">
        <x:v>Verified</x:v>
      </x:c>
    </x:row>
    <x:row r="206" ht="42" customHeight="1">
      <x:c r="A206" s="8" t="str">
        <x:v>B2.3-09</x:v>
      </x:c>
      <x:c r="B206" s="8" t="str">
        <x:v>B2.3</x:v>
      </x:c>
      <x:c r="C206" s="9" t="str">
        <x:v>Form and function</x:v>
      </x:c>
      <x:c r="D206" s="9" t="str">
        <x:v>Cell specialization</x:v>
      </x:c>
      <x:c r="E206" s="9" t="str">
        <x:v>SL/HL</x:v>
      </x:c>
      <x:c r="F206" s="9" t="str">
        <x:v>Oocyte</x:v>
      </x:c>
      <x:c r="G206" s="9" t="str">
        <x:v>A developing female germ cell that can mature into an ovum.</x:v>
      </x:c>
      <x:c r="H206" s="9" t="str">
        <x:v>OpenStax Biology 2e, 4.1 Studying Cells</x:v>
      </x:c>
      <x:c r="I206" s="9" t="str">
        <x:v>https://openstax.org/books/biology-2e/pages/4-1-studying-cells</x:v>
      </x:c>
      <x:c r="J206" s="9" t="str">
        <x:v>Verified</x:v>
      </x:c>
    </x:row>
    <x:row r="207" ht="42" customHeight="1">
      <x:c r="A207" s="8" t="str">
        <x:v>B2.3-10</x:v>
      </x:c>
      <x:c r="B207" s="8" t="str">
        <x:v>B2.3</x:v>
      </x:c>
      <x:c r="C207" s="9" t="str">
        <x:v>Form and function</x:v>
      </x:c>
      <x:c r="D207" s="9" t="str">
        <x:v>Cell specialization</x:v>
      </x:c>
      <x:c r="E207" s="9" t="str">
        <x:v>SL/HL</x:v>
      </x:c>
      <x:c r="F207" s="9" t="str">
        <x:v>Neuron</x:v>
      </x:c>
      <x:c r="G207" s="9" t="str">
        <x:v>An excitable cell specialized to receive, process, and transmit electrical and chemical signals.</x:v>
      </x:c>
      <x:c r="H207" s="9" t="str">
        <x:v>OpenStax Biology 2e, 4.1 Studying Cells</x:v>
      </x:c>
      <x:c r="I207" s="9" t="str">
        <x:v>https://openstax.org/books/biology-2e/pages/4-1-studying-cells</x:v>
      </x:c>
      <x:c r="J207" s="9" t="str">
        <x:v>Verified</x:v>
      </x:c>
    </x:row>
    <x:row r="208" ht="42" customHeight="1">
      <x:c r="A208" s="8" t="str">
        <x:v>B2.3-11</x:v>
      </x:c>
      <x:c r="B208" s="8" t="str">
        <x:v>B2.3</x:v>
      </x:c>
      <x:c r="C208" s="9" t="str">
        <x:v>Form and function</x:v>
      </x:c>
      <x:c r="D208" s="9" t="str">
        <x:v>Cell specialization</x:v>
      </x:c>
      <x:c r="E208" s="9" t="str">
        <x:v>SL/HL</x:v>
      </x:c>
      <x:c r="F208" s="9" t="str">
        <x:v>Skeletal muscle fiber</x:v>
      </x:c>
      <x:c r="G208" s="9" t="str">
        <x:v>A long multinucleate cell packed with contractile myofibrils for voluntary movement.</x:v>
      </x:c>
      <x:c r="H208" s="9" t="str">
        <x:v>OpenStax Biology 2e, 4.1 Studying Cells</x:v>
      </x:c>
      <x:c r="I208" s="9" t="str">
        <x:v>https://openstax.org/books/biology-2e/pages/4-1-studying-cells</x:v>
      </x:c>
      <x:c r="J208" s="9" t="str">
        <x:v>Verified</x:v>
      </x:c>
    </x:row>
    <x:row r="209" ht="42" customHeight="1">
      <x:c r="A209" s="8" t="str">
        <x:v>B2.3-12</x:v>
      </x:c>
      <x:c r="B209" s="8" t="str">
        <x:v>B2.3</x:v>
      </x:c>
      <x:c r="C209" s="9" t="str">
        <x:v>Form and function</x:v>
      </x:c>
      <x:c r="D209" s="9" t="str">
        <x:v>Cell specialization</x:v>
      </x:c>
      <x:c r="E209" s="9" t="str">
        <x:v>SL/HL</x:v>
      </x:c>
      <x:c r="F209" s="9" t="str">
        <x:v>Palisade mesophyll cell</x:v>
      </x:c>
      <x:c r="G209" s="9" t="str">
        <x:v>A chloroplast-rich leaf cell specialized for light absorption and photosynthesis.</x:v>
      </x:c>
      <x:c r="H209" s="9" t="str">
        <x:v>OpenStax Biology 2e, 4.1 Studying Cells</x:v>
      </x:c>
      <x:c r="I209" s="9" t="str">
        <x:v>https://openstax.org/books/biology-2e/pages/4-1-studying-cells</x:v>
      </x:c>
      <x:c r="J209" s="9" t="str">
        <x:v>Verified</x:v>
      </x:c>
    </x:row>
    <x:row r="210" ht="42" customHeight="1">
      <x:c r="A210" s="8" t="str">
        <x:v>B2.3-13</x:v>
      </x:c>
      <x:c r="B210" s="8" t="str">
        <x:v>B2.3</x:v>
      </x:c>
      <x:c r="C210" s="9" t="str">
        <x:v>Form and function</x:v>
      </x:c>
      <x:c r="D210" s="9" t="str">
        <x:v>Cell specialization</x:v>
      </x:c>
      <x:c r="E210" s="9" t="str">
        <x:v>SL/HL</x:v>
      </x:c>
      <x:c r="F210" s="9" t="str">
        <x:v>Root hair cell</x:v>
      </x:c>
      <x:c r="G210" s="9" t="str">
        <x:v>A root epidermal cell with a long projection that increases mineral-ion and water uptake.</x:v>
      </x:c>
      <x:c r="H210" s="9" t="str">
        <x:v>OpenStax Biology 2e, 4.1 Studying Cells</x:v>
      </x:c>
      <x:c r="I210" s="9" t="str">
        <x:v>https://openstax.org/books/biology-2e/pages/4-1-studying-cells</x:v>
      </x:c>
      <x:c r="J210" s="9" t="str">
        <x:v>Verified</x:v>
      </x:c>
    </x:row>
    <x:row r="211" ht="42" customHeight="1">
      <x:c r="A211" s="8" t="str">
        <x:v>B2.3-14</x:v>
      </x:c>
      <x:c r="B211" s="8" t="str">
        <x:v>B2.3</x:v>
      </x:c>
      <x:c r="C211" s="9" t="str">
        <x:v>Form and function</x:v>
      </x:c>
      <x:c r="D211" s="9" t="str">
        <x:v>Cell specialization</x:v>
      </x:c>
      <x:c r="E211" s="9" t="str">
        <x:v>SL/HL</x:v>
      </x:c>
      <x:c r="F211" s="9" t="str">
        <x:v>Xylem vessel element</x:v>
      </x:c>
      <x:c r="G211" s="9" t="str">
        <x:v>A lignified dead cell joined end-to-end to conduct water and provide support.</x:v>
      </x:c>
      <x:c r="H211" s="9" t="str">
        <x:v>OpenStax Biology 2e, 4.1 Studying Cells</x:v>
      </x:c>
      <x:c r="I211" s="9" t="str">
        <x:v>https://openstax.org/books/biology-2e/pages/4-1-studying-cells</x:v>
      </x:c>
      <x:c r="J211" s="9" t="str">
        <x:v>Verified</x:v>
      </x:c>
    </x:row>
    <x:row r="212" ht="42" customHeight="1">
      <x:c r="A212" s="8" t="str">
        <x:v>B2.3-15</x:v>
      </x:c>
      <x:c r="B212" s="8" t="str">
        <x:v>B2.3</x:v>
      </x:c>
      <x:c r="C212" s="9" t="str">
        <x:v>Form and function</x:v>
      </x:c>
      <x:c r="D212" s="9" t="str">
        <x:v>Cell specialization</x:v>
      </x:c>
      <x:c r="E212" s="9" t="str">
        <x:v>SL/HL</x:v>
      </x:c>
      <x:c r="F212" s="9" t="str">
        <x:v>Sieve-tube element</x:v>
      </x:c>
      <x:c r="G212" s="9" t="str">
        <x:v>A living phloem cell that conducts assimilates through perforated end walls with companion-cell support.</x:v>
      </x:c>
      <x:c r="H212" s="9" t="str">
        <x:v>OpenStax Biology 2e, 4.1 Studying Cells</x:v>
      </x:c>
      <x:c r="I212" s="9" t="str">
        <x:v>https://openstax.org/books/biology-2e/pages/4-1-studying-cells</x:v>
      </x:c>
      <x:c r="J212" s="9" t="str">
        <x:v>Verified</x:v>
      </x:c>
    </x:row>
    <x:row r="213" ht="42" customHeight="1">
      <x:c r="A213" s="8" t="str">
        <x:v>B3.1-01</x:v>
      </x:c>
      <x:c r="B213" s="8" t="str">
        <x:v>B3.1</x:v>
      </x:c>
      <x:c r="C213" s="9" t="str">
        <x:v>Form and function</x:v>
      </x:c>
      <x:c r="D213" s="9" t="str">
        <x:v>Gas exchange</x:v>
      </x:c>
      <x:c r="E213" s="9" t="str">
        <x:v>SL/HL</x:v>
      </x:c>
      <x:c r="F213" s="9" t="str">
        <x:v>Gas exchange</x:v>
      </x:c>
      <x:c r="G213" s="9" t="str">
        <x:v>Movement of respiratory gases between an organism and its environment across a specialized surface.</x:v>
      </x:c>
      <x:c r="H213" s="9" t="str">
        <x:v>OpenStax Biology 2e, 39.1–39.3 Gas Exchange</x:v>
      </x:c>
      <x:c r="I213" s="9" t="str">
        <x:v>https://openstax.org/books/biology-2e/pages/39-introduction</x:v>
      </x:c>
      <x:c r="J213" s="9" t="str">
        <x:v>Verified</x:v>
      </x:c>
    </x:row>
    <x:row r="214" ht="42" customHeight="1">
      <x:c r="A214" s="8" t="str">
        <x:v>B3.1-02</x:v>
      </x:c>
      <x:c r="B214" s="8" t="str">
        <x:v>B3.1</x:v>
      </x:c>
      <x:c r="C214" s="9" t="str">
        <x:v>Form and function</x:v>
      </x:c>
      <x:c r="D214" s="9" t="str">
        <x:v>Gas exchange</x:v>
      </x:c>
      <x:c r="E214" s="9" t="str">
        <x:v>SL/HL</x:v>
      </x:c>
      <x:c r="F214" s="9" t="str">
        <x:v>Ventilation</x:v>
      </x:c>
      <x:c r="G214" s="9" t="str">
        <x:v>Bulk movement of air or water that renews the medium at a respiratory surface.</x:v>
      </x:c>
      <x:c r="H214" s="9" t="str">
        <x:v>OpenStax Biology 2e, 39.1–39.3 Gas Exchange</x:v>
      </x:c>
      <x:c r="I214" s="9" t="str">
        <x:v>https://openstax.org/books/biology-2e/pages/39-introduction</x:v>
      </x:c>
      <x:c r="J214" s="9" t="str">
        <x:v>Verified</x:v>
      </x:c>
    </x:row>
    <x:row r="215" ht="42" customHeight="1">
      <x:c r="A215" s="8" t="str">
        <x:v>B3.1-03</x:v>
      </x:c>
      <x:c r="B215" s="8" t="str">
        <x:v>B3.1</x:v>
      </x:c>
      <x:c r="C215" s="9" t="str">
        <x:v>Form and function</x:v>
      </x:c>
      <x:c r="D215" s="9" t="str">
        <x:v>Gas exchange</x:v>
      </x:c>
      <x:c r="E215" s="9" t="str">
        <x:v>SL/HL</x:v>
      </x:c>
      <x:c r="F215" s="9" t="str">
        <x:v>Partial-pressure gradient</x:v>
      </x:c>
      <x:c r="G215" s="9" t="str">
        <x:v>A difference in one gas’s pressure that drives its net diffusion.</x:v>
      </x:c>
      <x:c r="H215" s="9" t="str">
        <x:v>OpenStax Biology 2e, 39.1–39.3 Gas Exchange</x:v>
      </x:c>
      <x:c r="I215" s="9" t="str">
        <x:v>https://openstax.org/books/biology-2e/pages/39-introduction</x:v>
      </x:c>
      <x:c r="J215" s="9" t="str">
        <x:v>Verified</x:v>
      </x:c>
    </x:row>
    <x:row r="216" ht="42" customHeight="1">
      <x:c r="A216" s="8" t="str">
        <x:v>B3.1-04</x:v>
      </x:c>
      <x:c r="B216" s="8" t="str">
        <x:v>B3.1</x:v>
      </x:c>
      <x:c r="C216" s="9" t="str">
        <x:v>Form and function</x:v>
      </x:c>
      <x:c r="D216" s="9" t="str">
        <x:v>Gas exchange</x:v>
      </x:c>
      <x:c r="E216" s="9" t="str">
        <x:v>SL/HL</x:v>
      </x:c>
      <x:c r="F216" s="9" t="str">
        <x:v>Alveolus</x:v>
      </x:c>
      <x:c r="G216" s="9" t="str">
        <x:v>A microscopic lung air sac providing a thin, moist surface closely associated with capillaries.</x:v>
      </x:c>
      <x:c r="H216" s="9" t="str">
        <x:v>OpenStax Biology 2e, 39.1–39.3 Gas Exchange</x:v>
      </x:c>
      <x:c r="I216" s="9" t="str">
        <x:v>https://openstax.org/books/biology-2e/pages/39-introduction</x:v>
      </x:c>
      <x:c r="J216" s="9" t="str">
        <x:v>Verified</x:v>
      </x:c>
    </x:row>
    <x:row r="217" ht="42" customHeight="1">
      <x:c r="A217" s="8" t="str">
        <x:v>B3.1-05</x:v>
      </x:c>
      <x:c r="B217" s="8" t="str">
        <x:v>B3.1</x:v>
      </x:c>
      <x:c r="C217" s="9" t="str">
        <x:v>Form and function</x:v>
      </x:c>
      <x:c r="D217" s="9" t="str">
        <x:v>Gas exchange</x:v>
      </x:c>
      <x:c r="E217" s="9" t="str">
        <x:v>SL/HL</x:v>
      </x:c>
      <x:c r="F217" s="9" t="str">
        <x:v>Type I pneumocyte</x:v>
      </x:c>
      <x:c r="G217" s="9" t="str">
        <x:v>A thin alveolar epithelial cell forming most of the surface across which gases diffuse.</x:v>
      </x:c>
      <x:c r="H217" s="9" t="str">
        <x:v>OpenStax Biology 2e, 39.1–39.3 Gas Exchange</x:v>
      </x:c>
      <x:c r="I217" s="9" t="str">
        <x:v>https://openstax.org/books/biology-2e/pages/39-introduction</x:v>
      </x:c>
      <x:c r="J217" s="9" t="str">
        <x:v>Verified</x:v>
      </x:c>
    </x:row>
    <x:row r="218" ht="42" customHeight="1">
      <x:c r="A218" s="8" t="str">
        <x:v>B3.1-06</x:v>
      </x:c>
      <x:c r="B218" s="8" t="str">
        <x:v>B3.1</x:v>
      </x:c>
      <x:c r="C218" s="9" t="str">
        <x:v>Form and function</x:v>
      </x:c>
      <x:c r="D218" s="9" t="str">
        <x:v>Gas exchange</x:v>
      </x:c>
      <x:c r="E218" s="9" t="str">
        <x:v>SL/HL</x:v>
      </x:c>
      <x:c r="F218" s="9" t="str">
        <x:v>Type II pneumocyte</x:v>
      </x:c>
      <x:c r="G218" s="9" t="str">
        <x:v>An alveolar epithelial cell that secretes surfactant and can replace damaged alveolar cells.</x:v>
      </x:c>
      <x:c r="H218" s="9" t="str">
        <x:v>OpenStax Biology 2e, 39.1–39.3 Gas Exchange</x:v>
      </x:c>
      <x:c r="I218" s="9" t="str">
        <x:v>https://openstax.org/books/biology-2e/pages/39-introduction</x:v>
      </x:c>
      <x:c r="J218" s="9" t="str">
        <x:v>Verified</x:v>
      </x:c>
    </x:row>
    <x:row r="219" ht="42" customHeight="1">
      <x:c r="A219" s="8" t="str">
        <x:v>B3.1-07</x:v>
      </x:c>
      <x:c r="B219" s="8" t="str">
        <x:v>B3.1</x:v>
      </x:c>
      <x:c r="C219" s="9" t="str">
        <x:v>Form and function</x:v>
      </x:c>
      <x:c r="D219" s="9" t="str">
        <x:v>Gas exchange</x:v>
      </x:c>
      <x:c r="E219" s="9" t="str">
        <x:v>SL/HL</x:v>
      </x:c>
      <x:c r="F219" s="9" t="str">
        <x:v>Pulmonary surfactant</x:v>
      </x:c>
      <x:c r="G219" s="9" t="str">
        <x:v>A phospholipid-rich secretion that reduces alveolar surface tension and helps prevent collapse.</x:v>
      </x:c>
      <x:c r="H219" s="9" t="str">
        <x:v>OpenStax Biology 2e, 39.1–39.3 Gas Exchange</x:v>
      </x:c>
      <x:c r="I219" s="9" t="str">
        <x:v>https://openstax.org/books/biology-2e/pages/39-introduction</x:v>
      </x:c>
      <x:c r="J219" s="9" t="str">
        <x:v>Verified</x:v>
      </x:c>
    </x:row>
    <x:row r="220" ht="42" customHeight="1">
      <x:c r="A220" s="8" t="str">
        <x:v>B3.1-08</x:v>
      </x:c>
      <x:c r="B220" s="8" t="str">
        <x:v>B3.1</x:v>
      </x:c>
      <x:c r="C220" s="9" t="str">
        <x:v>Form and function</x:v>
      </x:c>
      <x:c r="D220" s="9" t="str">
        <x:v>Gas exchange</x:v>
      </x:c>
      <x:c r="E220" s="9" t="str">
        <x:v>SL/HL</x:v>
      </x:c>
      <x:c r="F220" s="9" t="str">
        <x:v>Diaphragm</x:v>
      </x:c>
      <x:c r="G220" s="9" t="str">
        <x:v>A dome-shaped skeletal muscle whose contraction increases thoracic volume during inhalation.</x:v>
      </x:c>
      <x:c r="H220" s="9" t="str">
        <x:v>OpenStax Biology 2e, 39.1–39.3 Gas Exchange</x:v>
      </x:c>
      <x:c r="I220" s="9" t="str">
        <x:v>https://openstax.org/books/biology-2e/pages/39-introduction</x:v>
      </x:c>
      <x:c r="J220" s="9" t="str">
        <x:v>Verified</x:v>
      </x:c>
    </x:row>
    <x:row r="221" ht="42" customHeight="1">
      <x:c r="A221" s="8" t="str">
        <x:v>B3.1-09</x:v>
      </x:c>
      <x:c r="B221" s="8" t="str">
        <x:v>B3.1</x:v>
      </x:c>
      <x:c r="C221" s="9" t="str">
        <x:v>Form and function</x:v>
      </x:c>
      <x:c r="D221" s="9" t="str">
        <x:v>Gas exchange</x:v>
      </x:c>
      <x:c r="E221" s="9" t="str">
        <x:v>SL/HL</x:v>
      </x:c>
      <x:c r="F221" s="9" t="str">
        <x:v>Tidal volume</x:v>
      </x:c>
      <x:c r="G221" s="9" t="str">
        <x:v>The volume of air inhaled or exhaled in one normal resting breath.</x:v>
      </x:c>
      <x:c r="H221" s="9" t="str">
        <x:v>OpenStax Biology 2e, 39.1–39.3 Gas Exchange</x:v>
      </x:c>
      <x:c r="I221" s="9" t="str">
        <x:v>https://openstax.org/books/biology-2e/pages/39-introduction</x:v>
      </x:c>
      <x:c r="J221" s="9" t="str">
        <x:v>Verified</x:v>
      </x:c>
    </x:row>
    <x:row r="222" ht="42" customHeight="1">
      <x:c r="A222" s="8" t="str">
        <x:v>B3.1-10</x:v>
      </x:c>
      <x:c r="B222" s="8" t="str">
        <x:v>B3.1</x:v>
      </x:c>
      <x:c r="C222" s="9" t="str">
        <x:v>Form and function</x:v>
      </x:c>
      <x:c r="D222" s="9" t="str">
        <x:v>Gas exchange</x:v>
      </x:c>
      <x:c r="E222" s="9" t="str">
        <x:v>SL/HL</x:v>
      </x:c>
      <x:c r="F222" s="9" t="str">
        <x:v>Vital capacity</x:v>
      </x:c>
      <x:c r="G222" s="9" t="str">
        <x:v>The greatest volume exhaled after the deepest possible inhalation.</x:v>
      </x:c>
      <x:c r="H222" s="9" t="str">
        <x:v>OpenStax Biology 2e, 39.1–39.3 Gas Exchange</x:v>
      </x:c>
      <x:c r="I222" s="9" t="str">
        <x:v>https://openstax.org/books/biology-2e/pages/39-introduction</x:v>
      </x:c>
      <x:c r="J222" s="9" t="str">
        <x:v>Verified</x:v>
      </x:c>
    </x:row>
    <x:row r="223" ht="42" customHeight="1">
      <x:c r="A223" s="8" t="str">
        <x:v>B3.1-11</x:v>
      </x:c>
      <x:c r="B223" s="8" t="str">
        <x:v>B3.1</x:v>
      </x:c>
      <x:c r="C223" s="9" t="str">
        <x:v>Form and function</x:v>
      </x:c>
      <x:c r="D223" s="9" t="str">
        <x:v>Gas exchange</x:v>
      </x:c>
      <x:c r="E223" s="9" t="str">
        <x:v>SL/HL</x:v>
      </x:c>
      <x:c r="F223" s="9" t="str">
        <x:v>Ventilation rate</x:v>
      </x:c>
      <x:c r="G223" s="9" t="str">
        <x:v>The number of ventilation cycles per unit time, commonly measured as breaths per minute.</x:v>
      </x:c>
      <x:c r="H223" s="9" t="str">
        <x:v>OpenStax Biology 2e, 39.1–39.3 Gas Exchange</x:v>
      </x:c>
      <x:c r="I223" s="9" t="str">
        <x:v>https://openstax.org/books/biology-2e/pages/39-introduction</x:v>
      </x:c>
      <x:c r="J223" s="9" t="str">
        <x:v>Verified</x:v>
      </x:c>
    </x:row>
    <x:row r="224" ht="42" customHeight="1">
      <x:c r="A224" s="8" t="str">
        <x:v>B3.1-12</x:v>
      </x:c>
      <x:c r="B224" s="8" t="str">
        <x:v>B3.1</x:v>
      </x:c>
      <x:c r="C224" s="9" t="str">
        <x:v>Form and function</x:v>
      </x:c>
      <x:c r="D224" s="9" t="str">
        <x:v>Gas exchange</x:v>
      </x:c>
      <x:c r="E224" s="9" t="str">
        <x:v>SL/HL</x:v>
      </x:c>
      <x:c r="F224" s="9" t="str">
        <x:v>Gill filament</x:v>
      </x:c>
      <x:c r="G224" s="9" t="str">
        <x:v>A slender gill projection bearing many lamellae and supporting blood vessels.</x:v>
      </x:c>
      <x:c r="H224" s="9" t="str">
        <x:v>OpenStax Biology 2e, 39.1–39.3 Gas Exchange</x:v>
      </x:c>
      <x:c r="I224" s="9" t="str">
        <x:v>https://openstax.org/books/biology-2e/pages/39-introduction</x:v>
      </x:c>
      <x:c r="J224" s="9" t="str">
        <x:v>Verified</x:v>
      </x:c>
    </x:row>
    <x:row r="225" ht="42" customHeight="1">
      <x:c r="A225" s="8" t="str">
        <x:v>B3.1-13</x:v>
      </x:c>
      <x:c r="B225" s="8" t="str">
        <x:v>B3.1</x:v>
      </x:c>
      <x:c r="C225" s="9" t="str">
        <x:v>Form and function</x:v>
      </x:c>
      <x:c r="D225" s="9" t="str">
        <x:v>Gas exchange</x:v>
      </x:c>
      <x:c r="E225" s="9" t="str">
        <x:v>SL/HL</x:v>
      </x:c>
      <x:c r="F225" s="9" t="str">
        <x:v>Gill lamella</x:v>
      </x:c>
      <x:c r="G225" s="9" t="str">
        <x:v>A thin plate on a gill filament that provides a large surface for aquatic gas exchange.</x:v>
      </x:c>
      <x:c r="H225" s="9" t="str">
        <x:v>OpenStax Biology 2e, 39.1–39.3 Gas Exchange</x:v>
      </x:c>
      <x:c r="I225" s="9" t="str">
        <x:v>https://openstax.org/books/biology-2e/pages/39-introduction</x:v>
      </x:c>
      <x:c r="J225" s="9" t="str">
        <x:v>Verified</x:v>
      </x:c>
    </x:row>
    <x:row r="226" ht="42" customHeight="1">
      <x:c r="A226" s="8" t="str">
        <x:v>B3.1-14</x:v>
      </x:c>
      <x:c r="B226" s="8" t="str">
        <x:v>B3.1</x:v>
      </x:c>
      <x:c r="C226" s="9" t="str">
        <x:v>Form and function</x:v>
      </x:c>
      <x:c r="D226" s="9" t="str">
        <x:v>Gas exchange</x:v>
      </x:c>
      <x:c r="E226" s="9" t="str">
        <x:v>SL/HL</x:v>
      </x:c>
      <x:c r="F226" s="9" t="str">
        <x:v>Countercurrent gas exchange</x:v>
      </x:c>
      <x:c r="G226" s="9" t="str">
        <x:v>Opposite flow of blood and water that maintains an oxygen gradient across an entire gill surface.</x:v>
      </x:c>
      <x:c r="H226" s="9" t="str">
        <x:v>OpenStax Biology 2e, 39.1–39.3 Gas Exchange</x:v>
      </x:c>
      <x:c r="I226" s="9" t="str">
        <x:v>https://openstax.org/books/biology-2e/pages/39-introduction</x:v>
      </x:c>
      <x:c r="J226" s="9" t="str">
        <x:v>Verified</x:v>
      </x:c>
    </x:row>
    <x:row r="227" ht="42" customHeight="1">
      <x:c r="A227" s="8" t="str">
        <x:v>B3.1-15</x:v>
      </x:c>
      <x:c r="B227" s="8" t="str">
        <x:v>B3.1</x:v>
      </x:c>
      <x:c r="C227" s="9" t="str">
        <x:v>Form and function</x:v>
      </x:c>
      <x:c r="D227" s="9" t="str">
        <x:v>Gas exchange</x:v>
      </x:c>
      <x:c r="E227" s="9" t="str">
        <x:v>SL/HL</x:v>
      </x:c>
      <x:c r="F227" s="9" t="str">
        <x:v>Stoma</x:v>
      </x:c>
      <x:c r="G227" s="9" t="str">
        <x:v>A regulated epidermal pore through which carbon dioxide, oxygen, and water vapor move in plants.</x:v>
      </x:c>
      <x:c r="H227" s="9" t="str">
        <x:v>OpenStax Biology 2e, 30.4 Leaves</x:v>
      </x:c>
      <x:c r="I227" s="9" t="str">
        <x:v>https://openstax.org/books/biology-2e/pages/30-4-leaves</x:v>
      </x:c>
      <x:c r="J227" s="9" t="str">
        <x:v>Verified</x:v>
      </x:c>
    </x:row>
    <x:row r="228" ht="42" customHeight="1">
      <x:c r="A228" s="8" t="str">
        <x:v>B3.1-16</x:v>
      </x:c>
      <x:c r="B228" s="8" t="str">
        <x:v>B3.1</x:v>
      </x:c>
      <x:c r="C228" s="9" t="str">
        <x:v>Form and function</x:v>
      </x:c>
      <x:c r="D228" s="9" t="str">
        <x:v>Gas exchange</x:v>
      </x:c>
      <x:c r="E228" s="9" t="str">
        <x:v>SL/HL</x:v>
      </x:c>
      <x:c r="F228" s="9" t="str">
        <x:v>Guard cell</x:v>
      </x:c>
      <x:c r="G228" s="9" t="str">
        <x:v>One of a pair of specialized epidermal cells that controls the opening of a stoma.</x:v>
      </x:c>
      <x:c r="H228" s="9" t="str">
        <x:v>OpenStax Biology 2e, 30.4 Leaves</x:v>
      </x:c>
      <x:c r="I228" s="9" t="str">
        <x:v>https://openstax.org/books/biology-2e/pages/30-4-leaves</x:v>
      </x:c>
      <x:c r="J228" s="9" t="str">
        <x:v>Verified</x:v>
      </x:c>
    </x:row>
    <x:row r="229" ht="42" customHeight="1">
      <x:c r="A229" s="8" t="str">
        <x:v>B3.2-01</x:v>
      </x:c>
      <x:c r="B229" s="8" t="str">
        <x:v>B3.2</x:v>
      </x:c>
      <x:c r="C229" s="9" t="str">
        <x:v>Form and function</x:v>
      </x:c>
      <x:c r="D229" s="9" t="str">
        <x:v>Transport</x:v>
      </x:c>
      <x:c r="E229" s="9" t="str">
        <x:v>SL/HL</x:v>
      </x:c>
      <x:c r="F229" s="9" t="str">
        <x:v>Mass flow</x:v>
      </x:c>
      <x:c r="G229" s="9" t="str">
        <x:v>Collective movement of a fluid and its dissolved substances down a pressure gradient.</x:v>
      </x:c>
      <x:c r="H229" s="9" t="str">
        <x:v>OpenStax Biology 2e, 40 The Circulatory System</x:v>
      </x:c>
      <x:c r="I229" s="9" t="str">
        <x:v>https://openstax.org/books/biology-2e/pages/40-introduction</x:v>
      </x:c>
      <x:c r="J229" s="9" t="str">
        <x:v>Verified</x:v>
      </x:c>
    </x:row>
    <x:row r="230" ht="42" customHeight="1">
      <x:c r="A230" s="8" t="str">
        <x:v>B3.2-02</x:v>
      </x:c>
      <x:c r="B230" s="8" t="str">
        <x:v>B3.2</x:v>
      </x:c>
      <x:c r="C230" s="9" t="str">
        <x:v>Form and function</x:v>
      </x:c>
      <x:c r="D230" s="9" t="str">
        <x:v>Transport</x:v>
      </x:c>
      <x:c r="E230" s="9" t="str">
        <x:v>SL/HL</x:v>
      </x:c>
      <x:c r="F230" s="9" t="str">
        <x:v>Closed circulatory system</x:v>
      </x:c>
      <x:c r="G230" s="9" t="str">
        <x:v>A transport system in which blood remains within vessels separate from interstitial fluid.</x:v>
      </x:c>
      <x:c r="H230" s="9" t="str">
        <x:v>OpenStax Biology 2e, 40 The Circulatory System</x:v>
      </x:c>
      <x:c r="I230" s="9" t="str">
        <x:v>https://openstax.org/books/biology-2e/pages/40-introduction</x:v>
      </x:c>
      <x:c r="J230" s="9" t="str">
        <x:v>Verified</x:v>
      </x:c>
    </x:row>
    <x:row r="231" ht="42" customHeight="1">
      <x:c r="A231" s="8" t="str">
        <x:v>B3.2-03</x:v>
      </x:c>
      <x:c r="B231" s="8" t="str">
        <x:v>B3.2</x:v>
      </x:c>
      <x:c r="C231" s="9" t="str">
        <x:v>Form and function</x:v>
      </x:c>
      <x:c r="D231" s="9" t="str">
        <x:v>Transport</x:v>
      </x:c>
      <x:c r="E231" s="9" t="str">
        <x:v>SL/HL</x:v>
      </x:c>
      <x:c r="F231" s="9" t="str">
        <x:v>Artery</x:v>
      </x:c>
      <x:c r="G231" s="9" t="str">
        <x:v>A blood vessel that carries blood away from the heart under relatively high pressure.</x:v>
      </x:c>
      <x:c r="H231" s="9" t="str">
        <x:v>OpenStax Biology 2e, 40 The Circulatory System</x:v>
      </x:c>
      <x:c r="I231" s="9" t="str">
        <x:v>https://openstax.org/books/biology-2e/pages/40-introduction</x:v>
      </x:c>
      <x:c r="J231" s="9" t="str">
        <x:v>Verified</x:v>
      </x:c>
    </x:row>
    <x:row r="232" ht="42" customHeight="1">
      <x:c r="A232" s="8" t="str">
        <x:v>B3.2-04</x:v>
      </x:c>
      <x:c r="B232" s="8" t="str">
        <x:v>B3.2</x:v>
      </x:c>
      <x:c r="C232" s="9" t="str">
        <x:v>Form and function</x:v>
      </x:c>
      <x:c r="D232" s="9" t="str">
        <x:v>Transport</x:v>
      </x:c>
      <x:c r="E232" s="9" t="str">
        <x:v>SL/HL</x:v>
      </x:c>
      <x:c r="F232" s="9" t="str">
        <x:v>Vein</x:v>
      </x:c>
      <x:c r="G232" s="9" t="str">
        <x:v>A blood vessel that carries blood toward the heart and commonly contains valves.</x:v>
      </x:c>
      <x:c r="H232" s="9" t="str">
        <x:v>OpenStax Biology 2e, 40 The Circulatory System</x:v>
      </x:c>
      <x:c r="I232" s="9" t="str">
        <x:v>https://openstax.org/books/biology-2e/pages/40-introduction</x:v>
      </x:c>
      <x:c r="J232" s="9" t="str">
        <x:v>Verified</x:v>
      </x:c>
    </x:row>
    <x:row r="233" ht="42" customHeight="1">
      <x:c r="A233" s="8" t="str">
        <x:v>B3.2-05</x:v>
      </x:c>
      <x:c r="B233" s="8" t="str">
        <x:v>B3.2</x:v>
      </x:c>
      <x:c r="C233" s="9" t="str">
        <x:v>Form and function</x:v>
      </x:c>
      <x:c r="D233" s="9" t="str">
        <x:v>Transport</x:v>
      </x:c>
      <x:c r="E233" s="9" t="str">
        <x:v>SL/HL</x:v>
      </x:c>
      <x:c r="F233" s="9" t="str">
        <x:v>Capillary</x:v>
      </x:c>
      <x:c r="G233" s="9" t="str">
        <x:v>A microscopic, thin-walled vessel where materials exchange between blood and tissues.</x:v>
      </x:c>
      <x:c r="H233" s="9" t="str">
        <x:v>OpenStax Biology 2e, 40 The Circulatory System</x:v>
      </x:c>
      <x:c r="I233" s="9" t="str">
        <x:v>https://openstax.org/books/biology-2e/pages/40-introduction</x:v>
      </x:c>
      <x:c r="J233" s="9" t="str">
        <x:v>Verified</x:v>
      </x:c>
    </x:row>
    <x:row r="234" ht="42" customHeight="1">
      <x:c r="A234" s="8" t="str">
        <x:v>B3.2-06</x:v>
      </x:c>
      <x:c r="B234" s="8" t="str">
        <x:v>B3.2</x:v>
      </x:c>
      <x:c r="C234" s="9" t="str">
        <x:v>Form and function</x:v>
      </x:c>
      <x:c r="D234" s="9" t="str">
        <x:v>Transport</x:v>
      </x:c>
      <x:c r="E234" s="9" t="str">
        <x:v>SL/HL</x:v>
      </x:c>
      <x:c r="F234" s="9" t="str">
        <x:v>Blood pressure</x:v>
      </x:c>
      <x:c r="G234" s="9" t="str">
        <x:v>The force per unit area exerted by circulating blood on vessel walls.</x:v>
      </x:c>
      <x:c r="H234" s="9" t="str">
        <x:v>OpenStax Biology 2e, 40 The Circulatory System</x:v>
      </x:c>
      <x:c r="I234" s="9" t="str">
        <x:v>https://openstax.org/books/biology-2e/pages/40-introduction</x:v>
      </x:c>
      <x:c r="J234" s="9" t="str">
        <x:v>Verified</x:v>
      </x:c>
    </x:row>
    <x:row r="235" ht="42" customHeight="1">
      <x:c r="A235" s="8" t="str">
        <x:v>B3.2-07</x:v>
      </x:c>
      <x:c r="B235" s="8" t="str">
        <x:v>B3.2</x:v>
      </x:c>
      <x:c r="C235" s="9" t="str">
        <x:v>Form and function</x:v>
      </x:c>
      <x:c r="D235" s="9" t="str">
        <x:v>Transport</x:v>
      </x:c>
      <x:c r="E235" s="9" t="str">
        <x:v>SL/HL</x:v>
      </x:c>
      <x:c r="F235" s="9" t="str">
        <x:v>Cardiac cycle</x:v>
      </x:c>
      <x:c r="G235" s="9" t="str">
        <x:v>The repeating sequence of atrial and ventricular contraction and relaxation during one heartbeat.</x:v>
      </x:c>
      <x:c r="H235" s="9" t="str">
        <x:v>OpenStax Biology 2e, 40 The Circulatory System</x:v>
      </x:c>
      <x:c r="I235" s="9" t="str">
        <x:v>https://openstax.org/books/biology-2e/pages/40-introduction</x:v>
      </x:c>
      <x:c r="J235" s="9" t="str">
        <x:v>Verified</x:v>
      </x:c>
    </x:row>
    <x:row r="236" ht="42" customHeight="1">
      <x:c r="A236" s="8" t="str">
        <x:v>B3.2-08</x:v>
      </x:c>
      <x:c r="B236" s="8" t="str">
        <x:v>B3.2</x:v>
      </x:c>
      <x:c r="C236" s="9" t="str">
        <x:v>Form and function</x:v>
      </x:c>
      <x:c r="D236" s="9" t="str">
        <x:v>Transport</x:v>
      </x:c>
      <x:c r="E236" s="9" t="str">
        <x:v>SL/HL</x:v>
      </x:c>
      <x:c r="F236" s="9" t="str">
        <x:v>Systole</x:v>
      </x:c>
      <x:c r="G236" s="9" t="str">
        <x:v>The phase of a heart chamber’s cycle in which its muscle contracts.</x:v>
      </x:c>
      <x:c r="H236" s="9" t="str">
        <x:v>OpenStax Biology 2e, 40 The Circulatory System</x:v>
      </x:c>
      <x:c r="I236" s="9" t="str">
        <x:v>https://openstax.org/books/biology-2e/pages/40-introduction</x:v>
      </x:c>
      <x:c r="J236" s="9" t="str">
        <x:v>Verified</x:v>
      </x:c>
    </x:row>
    <x:row r="237" ht="42" customHeight="1">
      <x:c r="A237" s="8" t="str">
        <x:v>B3.2-09</x:v>
      </x:c>
      <x:c r="B237" s="8" t="str">
        <x:v>B3.2</x:v>
      </x:c>
      <x:c r="C237" s="9" t="str">
        <x:v>Form and function</x:v>
      </x:c>
      <x:c r="D237" s="9" t="str">
        <x:v>Transport</x:v>
      </x:c>
      <x:c r="E237" s="9" t="str">
        <x:v>SL/HL</x:v>
      </x:c>
      <x:c r="F237" s="9" t="str">
        <x:v>Diastole</x:v>
      </x:c>
      <x:c r="G237" s="9" t="str">
        <x:v>The phase of a heart chamber’s cycle in which its muscle relaxes and the chamber fills.</x:v>
      </x:c>
      <x:c r="H237" s="9" t="str">
        <x:v>OpenStax Biology 2e, 40 The Circulatory System</x:v>
      </x:c>
      <x:c r="I237" s="9" t="str">
        <x:v>https://openstax.org/books/biology-2e/pages/40-introduction</x:v>
      </x:c>
      <x:c r="J237" s="9" t="str">
        <x:v>Verified</x:v>
      </x:c>
    </x:row>
    <x:row r="238" ht="42" customHeight="1">
      <x:c r="A238" s="8" t="str">
        <x:v>B3.2-10</x:v>
      </x:c>
      <x:c r="B238" s="8" t="str">
        <x:v>B3.2</x:v>
      </x:c>
      <x:c r="C238" s="9" t="str">
        <x:v>Form and function</x:v>
      </x:c>
      <x:c r="D238" s="9" t="str">
        <x:v>Transport</x:v>
      </x:c>
      <x:c r="E238" s="9" t="str">
        <x:v>SL/HL</x:v>
      </x:c>
      <x:c r="F238" s="9" t="str">
        <x:v>Atrioventricular valve</x:v>
      </x:c>
      <x:c r="G238" s="9" t="str">
        <x:v>A one-way valve between an atrium and ventricle that prevents backflow into the atrium.</x:v>
      </x:c>
      <x:c r="H238" s="9" t="str">
        <x:v>OpenStax Biology 2e, 40 The Circulatory System</x:v>
      </x:c>
      <x:c r="I238" s="9" t="str">
        <x:v>https://openstax.org/books/biology-2e/pages/40-introduction</x:v>
      </x:c>
      <x:c r="J238" s="9" t="str">
        <x:v>Verified</x:v>
      </x:c>
    </x:row>
    <x:row r="239" ht="42" customHeight="1">
      <x:c r="A239" s="8" t="str">
        <x:v>B3.2-11</x:v>
      </x:c>
      <x:c r="B239" s="8" t="str">
        <x:v>B3.2</x:v>
      </x:c>
      <x:c r="C239" s="9" t="str">
        <x:v>Form and function</x:v>
      </x:c>
      <x:c r="D239" s="9" t="str">
        <x:v>Transport</x:v>
      </x:c>
      <x:c r="E239" s="9" t="str">
        <x:v>SL/HL</x:v>
      </x:c>
      <x:c r="F239" s="9" t="str">
        <x:v>Semilunar valve</x:v>
      </x:c>
      <x:c r="G239" s="9" t="str">
        <x:v>A one-way valve at a ventricular outlet that prevents arterial blood returning to the ventricle.</x:v>
      </x:c>
      <x:c r="H239" s="9" t="str">
        <x:v>OpenStax Biology 2e, 40 The Circulatory System</x:v>
      </x:c>
      <x:c r="I239" s="9" t="str">
        <x:v>https://openstax.org/books/biology-2e/pages/40-introduction</x:v>
      </x:c>
      <x:c r="J239" s="9" t="str">
        <x:v>Verified</x:v>
      </x:c>
    </x:row>
    <x:row r="240" ht="42" customHeight="1">
      <x:c r="A240" s="8" t="str">
        <x:v>B3.2-12</x:v>
      </x:c>
      <x:c r="B240" s="8" t="str">
        <x:v>B3.2</x:v>
      </x:c>
      <x:c r="C240" s="9" t="str">
        <x:v>Form and function</x:v>
      </x:c>
      <x:c r="D240" s="9" t="str">
        <x:v>Transport</x:v>
      </x:c>
      <x:c r="E240" s="9" t="str">
        <x:v>SL/HL</x:v>
      </x:c>
      <x:c r="F240" s="9" t="str">
        <x:v>Cardiac output</x:v>
      </x:c>
      <x:c r="G240" s="9" t="str">
        <x:v>The volume of blood pumped by one ventricle per minute, equal to heart rate times stroke volume.</x:v>
      </x:c>
      <x:c r="H240" s="9" t="str">
        <x:v>OpenStax Biology 2e, 40 The Circulatory System</x:v>
      </x:c>
      <x:c r="I240" s="9" t="str">
        <x:v>https://openstax.org/books/biology-2e/pages/40-introduction</x:v>
      </x:c>
      <x:c r="J240" s="9" t="str">
        <x:v>Verified</x:v>
      </x:c>
    </x:row>
    <x:row r="241" ht="42" customHeight="1">
      <x:c r="A241" s="8" t="str">
        <x:v>B3.2-13</x:v>
      </x:c>
      <x:c r="B241" s="8" t="str">
        <x:v>B3.2</x:v>
      </x:c>
      <x:c r="C241" s="9" t="str">
        <x:v>Form and function</x:v>
      </x:c>
      <x:c r="D241" s="9" t="str">
        <x:v>Transport</x:v>
      </x:c>
      <x:c r="E241" s="9" t="str">
        <x:v>SL/HL</x:v>
      </x:c>
      <x:c r="F241" s="9" t="str">
        <x:v>Hemoglobin</x:v>
      </x:c>
      <x:c r="G241" s="9" t="str">
        <x:v>An iron-containing tetrameric protein in red blood cells that reversibly binds oxygen.</x:v>
      </x:c>
      <x:c r="H241" s="9" t="str">
        <x:v>OpenStax Biology 2e, 40 The Circulatory System</x:v>
      </x:c>
      <x:c r="I241" s="9" t="str">
        <x:v>https://openstax.org/books/biology-2e/pages/40-introduction</x:v>
      </x:c>
      <x:c r="J241" s="9" t="str">
        <x:v>Verified</x:v>
      </x:c>
    </x:row>
    <x:row r="242" ht="42" customHeight="1">
      <x:c r="A242" s="8" t="str">
        <x:v>B3.2-14</x:v>
      </x:c>
      <x:c r="B242" s="8" t="str">
        <x:v>B3.2</x:v>
      </x:c>
      <x:c r="C242" s="9" t="str">
        <x:v>Form and function</x:v>
      </x:c>
      <x:c r="D242" s="9" t="str">
        <x:v>Transport</x:v>
      </x:c>
      <x:c r="E242" s="9" t="str">
        <x:v>SL/HL</x:v>
      </x:c>
      <x:c r="F242" s="9" t="str">
        <x:v>Xylem</x:v>
      </x:c>
      <x:c r="G242" s="9" t="str">
        <x:v>Plant vascular tissue that conducts water and mineral ions and provides mechanical support.</x:v>
      </x:c>
      <x:c r="H242" s="9" t="str">
        <x:v>OpenStax Biology 2e, 30.5 Plant Transport</x:v>
      </x:c>
      <x:c r="I242" s="9" t="str">
        <x:v>https://openstax.org/books/biology-2e/pages/30-5-transport-of-water-and-solutes-in-plants</x:v>
      </x:c>
      <x:c r="J242" s="9" t="str">
        <x:v>Verified</x:v>
      </x:c>
    </x:row>
    <x:row r="243" ht="42" customHeight="1">
      <x:c r="A243" s="8" t="str">
        <x:v>B3.2-15</x:v>
      </x:c>
      <x:c r="B243" s="8" t="str">
        <x:v>B3.2</x:v>
      </x:c>
      <x:c r="C243" s="9" t="str">
        <x:v>Form and function</x:v>
      </x:c>
      <x:c r="D243" s="9" t="str">
        <x:v>Transport</x:v>
      </x:c>
      <x:c r="E243" s="9" t="str">
        <x:v>SL/HL</x:v>
      </x:c>
      <x:c r="F243" s="9" t="str">
        <x:v>Transpiration</x:v>
      </x:c>
      <x:c r="G243" s="9" t="str">
        <x:v>Loss of water vapor from a plant, mainly by evaporation and diffusion through stomata.</x:v>
      </x:c>
      <x:c r="H243" s="9" t="str">
        <x:v>OpenStax Biology 2e, 30.5 Plant Transport</x:v>
      </x:c>
      <x:c r="I243" s="9" t="str">
        <x:v>https://openstax.org/books/biology-2e/pages/30-5-transport-of-water-and-solutes-in-plants</x:v>
      </x:c>
      <x:c r="J243" s="9" t="str">
        <x:v>Verified</x:v>
      </x:c>
    </x:row>
    <x:row r="244" ht="42" customHeight="1">
      <x:c r="A244" s="8" t="str">
        <x:v>B3.2-16</x:v>
      </x:c>
      <x:c r="B244" s="8" t="str">
        <x:v>B3.2</x:v>
      </x:c>
      <x:c r="C244" s="9" t="str">
        <x:v>Form and function</x:v>
      </x:c>
      <x:c r="D244" s="9" t="str">
        <x:v>Transport</x:v>
      </x:c>
      <x:c r="E244" s="9" t="str">
        <x:v>SL/HL</x:v>
      </x:c>
      <x:c r="F244" s="9" t="str">
        <x:v>Cohesion–tension theory</x:v>
      </x:c>
      <x:c r="G244" s="9" t="str">
        <x:v>The explanation that transpiration-generated tension pulls a cohesive water column upward through xylem.</x:v>
      </x:c>
      <x:c r="H244" s="9" t="str">
        <x:v>OpenStax Biology 2e, 30.5 Plant Transport</x:v>
      </x:c>
      <x:c r="I244" s="9" t="str">
        <x:v>https://openstax.org/books/biology-2e/pages/30-5-transport-of-water-and-solutes-in-plants</x:v>
      </x:c>
      <x:c r="J244" s="9" t="str">
        <x:v>Verified</x:v>
      </x:c>
    </x:row>
    <x:row r="245" ht="42" customHeight="1">
      <x:c r="A245" s="8" t="str">
        <x:v>B3.2-17</x:v>
      </x:c>
      <x:c r="B245" s="8" t="str">
        <x:v>B3.2</x:v>
      </x:c>
      <x:c r="C245" s="9" t="str">
        <x:v>Form and function</x:v>
      </x:c>
      <x:c r="D245" s="9" t="str">
        <x:v>Transport</x:v>
      </x:c>
      <x:c r="E245" s="9" t="str">
        <x:v>SL/HL</x:v>
      </x:c>
      <x:c r="F245" s="9" t="str">
        <x:v>Phloem</x:v>
      </x:c>
      <x:c r="G245" s="9" t="str">
        <x:v>Living vascular tissue that transports sucrose and other assimilates between plant sources and sinks.</x:v>
      </x:c>
      <x:c r="H245" s="9" t="str">
        <x:v>OpenStax Biology 2e, 30.5 Plant Transport</x:v>
      </x:c>
      <x:c r="I245" s="9" t="str">
        <x:v>https://openstax.org/books/biology-2e/pages/30-5-transport-of-water-and-solutes-in-plants</x:v>
      </x:c>
      <x:c r="J245" s="9" t="str">
        <x:v>Verified</x:v>
      </x:c>
    </x:row>
    <x:row r="246" ht="42" customHeight="1">
      <x:c r="A246" s="8" t="str">
        <x:v>B3.2-18</x:v>
      </x:c>
      <x:c r="B246" s="8" t="str">
        <x:v>B3.2</x:v>
      </x:c>
      <x:c r="C246" s="9" t="str">
        <x:v>Form and function</x:v>
      </x:c>
      <x:c r="D246" s="9" t="str">
        <x:v>Transport</x:v>
      </x:c>
      <x:c r="E246" s="9" t="str">
        <x:v>SL/HL</x:v>
      </x:c>
      <x:c r="F246" s="9" t="str">
        <x:v>Translocation</x:v>
      </x:c>
      <x:c r="G246" s="9" t="str">
        <x:v>Pressure-driven transport of organic assimilates through phloem sieve tubes.</x:v>
      </x:c>
      <x:c r="H246" s="9" t="str">
        <x:v>OpenStax Biology 2e, 30.5 Plant Transport</x:v>
      </x:c>
      <x:c r="I246" s="9" t="str">
        <x:v>https://openstax.org/books/biology-2e/pages/30-5-transport-of-water-and-solutes-in-plants</x:v>
      </x:c>
      <x:c r="J246" s="9" t="str">
        <x:v>Verified</x:v>
      </x:c>
    </x:row>
    <x:row r="247" ht="42" customHeight="1">
      <x:c r="A247" s="8" t="str">
        <x:v>B3.2-19</x:v>
      </x:c>
      <x:c r="B247" s="8" t="str">
        <x:v>B3.2</x:v>
      </x:c>
      <x:c r="C247" s="9" t="str">
        <x:v>Form and function</x:v>
      </x:c>
      <x:c r="D247" s="9" t="str">
        <x:v>Transport</x:v>
      </x:c>
      <x:c r="E247" s="9" t="str">
        <x:v>SL/HL</x:v>
      </x:c>
      <x:c r="F247" s="9" t="str">
        <x:v>Source tissue</x:v>
      </x:c>
      <x:c r="G247" s="9" t="str">
        <x:v>A plant region that releases more assimilate into phloem than it consumes or stores.</x:v>
      </x:c>
      <x:c r="H247" s="9" t="str">
        <x:v>OpenStax Biology 2e, 30.5 Plant Transport</x:v>
      </x:c>
      <x:c r="I247" s="9" t="str">
        <x:v>https://openstax.org/books/biology-2e/pages/30-5-transport-of-water-and-solutes-in-plants</x:v>
      </x:c>
      <x:c r="J247" s="9" t="str">
        <x:v>Verified</x:v>
      </x:c>
    </x:row>
    <x:row r="248" ht="42" customHeight="1">
      <x:c r="A248" s="8" t="str">
        <x:v>B3.2-20</x:v>
      </x:c>
      <x:c r="B248" s="8" t="str">
        <x:v>B3.2</x:v>
      </x:c>
      <x:c r="C248" s="9" t="str">
        <x:v>Form and function</x:v>
      </x:c>
      <x:c r="D248" s="9" t="str">
        <x:v>Transport</x:v>
      </x:c>
      <x:c r="E248" s="9" t="str">
        <x:v>SL/HL</x:v>
      </x:c>
      <x:c r="F248" s="9" t="str">
        <x:v>Sink tissue</x:v>
      </x:c>
      <x:c r="G248" s="9" t="str">
        <x:v>A plant region that removes assimilate from phloem for use or storage.</x:v>
      </x:c>
      <x:c r="H248" s="9" t="str">
        <x:v>OpenStax Biology 2e, 30.5 Plant Transport</x:v>
      </x:c>
      <x:c r="I248" s="9" t="str">
        <x:v>https://openstax.org/books/biology-2e/pages/30-5-transport-of-water-and-solutes-in-plants</x:v>
      </x:c>
      <x:c r="J248" s="9" t="str">
        <x:v>Verified</x:v>
      </x:c>
    </x:row>
    <x:row r="249" ht="42" customHeight="1">
      <x:c r="A249" s="8" t="str">
        <x:v>B3.3-01</x:v>
      </x:c>
      <x:c r="B249" s="8" t="str">
        <x:v>B3.3</x:v>
      </x:c>
      <x:c r="C249" s="9" t="str">
        <x:v>Form and function</x:v>
      </x:c>
      <x:c r="D249" s="9" t="str">
        <x:v>Muscle and motility</x:v>
      </x:c>
      <x:c r="E249" s="9" t="str">
        <x:v>HL</x:v>
      </x:c>
      <x:c r="F249" s="9" t="str">
        <x:v>Skeletal muscle</x:v>
      </x:c>
      <x:c r="G249" s="9" t="str">
        <x:v>Striated muscle attached to the skeleton and generally controlled voluntarily.</x:v>
      </x:c>
      <x:c r="H249" s="9" t="str">
        <x:v>OpenStax Biology 2e, 38.4 Muscle Contraction and Locomotion</x:v>
      </x:c>
      <x:c r="I249" s="9" t="str">
        <x:v>https://openstax.org/books/biology-2e/pages/38-4-muscle-contraction-and-locomotion</x:v>
      </x:c>
      <x:c r="J249" s="9" t="str">
        <x:v>Verified</x:v>
      </x:c>
    </x:row>
    <x:row r="250" ht="42" customHeight="1">
      <x:c r="A250" s="8" t="str">
        <x:v>B3.3-02</x:v>
      </x:c>
      <x:c r="B250" s="8" t="str">
        <x:v>B3.3</x:v>
      </x:c>
      <x:c r="C250" s="9" t="str">
        <x:v>Form and function</x:v>
      </x:c>
      <x:c r="D250" s="9" t="str">
        <x:v>Muscle and motility</x:v>
      </x:c>
      <x:c r="E250" s="9" t="str">
        <x:v>HL</x:v>
      </x:c>
      <x:c r="F250" s="9" t="str">
        <x:v>Myofibril</x:v>
      </x:c>
      <x:c r="G250" s="9" t="str">
        <x:v>A contractile bundle within a muscle fiber composed of repeating sarcomeres.</x:v>
      </x:c>
      <x:c r="H250" s="9" t="str">
        <x:v>OpenStax Biology 2e, 38.4 Muscle Contraction and Locomotion</x:v>
      </x:c>
      <x:c r="I250" s="9" t="str">
        <x:v>https://openstax.org/books/biology-2e/pages/38-4-muscle-contraction-and-locomotion</x:v>
      </x:c>
      <x:c r="J250" s="9" t="str">
        <x:v>Verified</x:v>
      </x:c>
    </x:row>
    <x:row r="251" ht="42" customHeight="1">
      <x:c r="A251" s="8" t="str">
        <x:v>B3.3-03</x:v>
      </x:c>
      <x:c r="B251" s="8" t="str">
        <x:v>B3.3</x:v>
      </x:c>
      <x:c r="C251" s="9" t="str">
        <x:v>Form and function</x:v>
      </x:c>
      <x:c r="D251" s="9" t="str">
        <x:v>Muscle and motility</x:v>
      </x:c>
      <x:c r="E251" s="9" t="str">
        <x:v>HL</x:v>
      </x:c>
      <x:c r="F251" s="9" t="str">
        <x:v>Sarcomere</x:v>
      </x:c>
      <x:c r="G251" s="9" t="str">
        <x:v>The repeating contractile unit of a myofibril between two Z discs.</x:v>
      </x:c>
      <x:c r="H251" s="9" t="str">
        <x:v>OpenStax Biology 2e, 38.4 Muscle Contraction and Locomotion</x:v>
      </x:c>
      <x:c r="I251" s="9" t="str">
        <x:v>https://openstax.org/books/biology-2e/pages/38-4-muscle-contraction-and-locomotion</x:v>
      </x:c>
      <x:c r="J251" s="9" t="str">
        <x:v>Verified</x:v>
      </x:c>
    </x:row>
    <x:row r="252" ht="42" customHeight="1">
      <x:c r="A252" s="8" t="str">
        <x:v>B3.3-04</x:v>
      </x:c>
      <x:c r="B252" s="8" t="str">
        <x:v>B3.3</x:v>
      </x:c>
      <x:c r="C252" s="9" t="str">
        <x:v>Form and function</x:v>
      </x:c>
      <x:c r="D252" s="9" t="str">
        <x:v>Muscle and motility</x:v>
      </x:c>
      <x:c r="E252" s="9" t="str">
        <x:v>HL</x:v>
      </x:c>
      <x:c r="F252" s="9" t="str">
        <x:v>Actin</x:v>
      </x:c>
      <x:c r="G252" s="9" t="str">
        <x:v>The main protein of thin filaments, bearing sites that interact with myosin heads.</x:v>
      </x:c>
      <x:c r="H252" s="9" t="str">
        <x:v>OpenStax Biology 2e, 38.4 Muscle Contraction and Locomotion</x:v>
      </x:c>
      <x:c r="I252" s="9" t="str">
        <x:v>https://openstax.org/books/biology-2e/pages/38-4-muscle-contraction-and-locomotion</x:v>
      </x:c>
      <x:c r="J252" s="9" t="str">
        <x:v>Verified</x:v>
      </x:c>
    </x:row>
    <x:row r="253" ht="42" customHeight="1">
      <x:c r="A253" s="8" t="str">
        <x:v>B3.3-05</x:v>
      </x:c>
      <x:c r="B253" s="8" t="str">
        <x:v>B3.3</x:v>
      </x:c>
      <x:c r="C253" s="9" t="str">
        <x:v>Form and function</x:v>
      </x:c>
      <x:c r="D253" s="9" t="str">
        <x:v>Muscle and motility</x:v>
      </x:c>
      <x:c r="E253" s="9" t="str">
        <x:v>HL</x:v>
      </x:c>
      <x:c r="F253" s="9" t="str">
        <x:v>Myosin</x:v>
      </x:c>
      <x:c r="G253" s="9" t="str">
        <x:v>A motor protein whose heads bind actin and use ATP to generate force.</x:v>
      </x:c>
      <x:c r="H253" s="9" t="str">
        <x:v>OpenStax Biology 2e, 38.4 Muscle Contraction and Locomotion</x:v>
      </x:c>
      <x:c r="I253" s="9" t="str">
        <x:v>https://openstax.org/books/biology-2e/pages/38-4-muscle-contraction-and-locomotion</x:v>
      </x:c>
      <x:c r="J253" s="9" t="str">
        <x:v>Verified</x:v>
      </x:c>
    </x:row>
    <x:row r="254" ht="42" customHeight="1">
      <x:c r="A254" s="8" t="str">
        <x:v>B3.3-06</x:v>
      </x:c>
      <x:c r="B254" s="8" t="str">
        <x:v>B3.3</x:v>
      </x:c>
      <x:c r="C254" s="9" t="str">
        <x:v>Form and function</x:v>
      </x:c>
      <x:c r="D254" s="9" t="str">
        <x:v>Muscle and motility</x:v>
      </x:c>
      <x:c r="E254" s="9" t="str">
        <x:v>HL</x:v>
      </x:c>
      <x:c r="F254" s="9" t="str">
        <x:v>Tropomyosin</x:v>
      </x:c>
      <x:c r="G254" s="9" t="str">
        <x:v>A filament protein that covers myosin-binding sites on actin when skeletal muscle is relaxed.</x:v>
      </x:c>
      <x:c r="H254" s="9" t="str">
        <x:v>OpenStax Biology 2e, 38.4 Muscle Contraction and Locomotion</x:v>
      </x:c>
      <x:c r="I254" s="9" t="str">
        <x:v>https://openstax.org/books/biology-2e/pages/38-4-muscle-contraction-and-locomotion</x:v>
      </x:c>
      <x:c r="J254" s="9" t="str">
        <x:v>Verified</x:v>
      </x:c>
    </x:row>
    <x:row r="255" ht="42" customHeight="1">
      <x:c r="A255" s="8" t="str">
        <x:v>B3.3-07</x:v>
      </x:c>
      <x:c r="B255" s="8" t="str">
        <x:v>B3.3</x:v>
      </x:c>
      <x:c r="C255" s="9" t="str">
        <x:v>Form and function</x:v>
      </x:c>
      <x:c r="D255" s="9" t="str">
        <x:v>Muscle and motility</x:v>
      </x:c>
      <x:c r="E255" s="9" t="str">
        <x:v>HL</x:v>
      </x:c>
      <x:c r="F255" s="9" t="str">
        <x:v>Troponin</x:v>
      </x:c>
      <x:c r="G255" s="9" t="str">
        <x:v>A regulatory protein complex that binds calcium and shifts tropomyosin away from actin’s binding sites.</x:v>
      </x:c>
      <x:c r="H255" s="9" t="str">
        <x:v>OpenStax Biology 2e, 38.4 Muscle Contraction and Locomotion</x:v>
      </x:c>
      <x:c r="I255" s="9" t="str">
        <x:v>https://openstax.org/books/biology-2e/pages/38-4-muscle-contraction-and-locomotion</x:v>
      </x:c>
      <x:c r="J255" s="9" t="str">
        <x:v>Verified</x:v>
      </x:c>
    </x:row>
    <x:row r="256" ht="42" customHeight="1">
      <x:c r="A256" s="8" t="str">
        <x:v>B3.3-08</x:v>
      </x:c>
      <x:c r="B256" s="8" t="str">
        <x:v>B3.3</x:v>
      </x:c>
      <x:c r="C256" s="9" t="str">
        <x:v>Form and function</x:v>
      </x:c>
      <x:c r="D256" s="9" t="str">
        <x:v>Muscle and motility</x:v>
      </x:c>
      <x:c r="E256" s="9" t="str">
        <x:v>HL</x:v>
      </x:c>
      <x:c r="F256" s="9" t="str">
        <x:v>Sliding-filament mechanism</x:v>
      </x:c>
      <x:c r="G256" s="9" t="str">
        <x:v>Contraction by movement of thin filaments past thick filaments, shortening sarcomeres without shortening either filament.</x:v>
      </x:c>
      <x:c r="H256" s="9" t="str">
        <x:v>OpenStax Biology 2e, 38.4 Muscle Contraction and Locomotion</x:v>
      </x:c>
      <x:c r="I256" s="9" t="str">
        <x:v>https://openstax.org/books/biology-2e/pages/38-4-muscle-contraction-and-locomotion</x:v>
      </x:c>
      <x:c r="J256" s="9" t="str">
        <x:v>Verified</x:v>
      </x:c>
    </x:row>
    <x:row r="257" ht="42" customHeight="1">
      <x:c r="A257" s="8" t="str">
        <x:v>B3.3-09</x:v>
      </x:c>
      <x:c r="B257" s="8" t="str">
        <x:v>B3.3</x:v>
      </x:c>
      <x:c r="C257" s="9" t="str">
        <x:v>Form and function</x:v>
      </x:c>
      <x:c r="D257" s="9" t="str">
        <x:v>Muscle and motility</x:v>
      </x:c>
      <x:c r="E257" s="9" t="str">
        <x:v>HL</x:v>
      </x:c>
      <x:c r="F257" s="9" t="str">
        <x:v>Cross-bridge</x:v>
      </x:c>
      <x:c r="G257" s="9" t="str">
        <x:v>A temporary attachment between a myosin head and an actin filament during contraction.</x:v>
      </x:c>
      <x:c r="H257" s="9" t="str">
        <x:v>OpenStax Biology 2e, 38.4 Muscle Contraction and Locomotion</x:v>
      </x:c>
      <x:c r="I257" s="9" t="str">
        <x:v>https://openstax.org/books/biology-2e/pages/38-4-muscle-contraction-and-locomotion</x:v>
      </x:c>
      <x:c r="J257" s="9" t="str">
        <x:v>Verified</x:v>
      </x:c>
    </x:row>
    <x:row r="258" ht="42" customHeight="1">
      <x:c r="A258" s="8" t="str">
        <x:v>B3.3-10</x:v>
      </x:c>
      <x:c r="B258" s="8" t="str">
        <x:v>B3.3</x:v>
      </x:c>
      <x:c r="C258" s="9" t="str">
        <x:v>Form and function</x:v>
      </x:c>
      <x:c r="D258" s="9" t="str">
        <x:v>Muscle and motility</x:v>
      </x:c>
      <x:c r="E258" s="9" t="str">
        <x:v>HL</x:v>
      </x:c>
      <x:c r="F258" s="9" t="str">
        <x:v>Power stroke</x:v>
      </x:c>
      <x:c r="G258" s="9" t="str">
        <x:v>The pivot of an actin-bound myosin head that pulls the thin filament toward the sarcomere center.</x:v>
      </x:c>
      <x:c r="H258" s="9" t="str">
        <x:v>OpenStax Biology 2e, 38.4 Muscle Contraction and Locomotion</x:v>
      </x:c>
      <x:c r="I258" s="9" t="str">
        <x:v>https://openstax.org/books/biology-2e/pages/38-4-muscle-contraction-and-locomotion</x:v>
      </x:c>
      <x:c r="J258" s="9" t="str">
        <x:v>Verified</x:v>
      </x:c>
    </x:row>
    <x:row r="259" ht="42" customHeight="1">
      <x:c r="A259" s="8" t="str">
        <x:v>B3.3-11</x:v>
      </x:c>
      <x:c r="B259" s="8" t="str">
        <x:v>B3.3</x:v>
      </x:c>
      <x:c r="C259" s="9" t="str">
        <x:v>Form and function</x:v>
      </x:c>
      <x:c r="D259" s="9" t="str">
        <x:v>Muscle and motility</x:v>
      </x:c>
      <x:c r="E259" s="9" t="str">
        <x:v>HL</x:v>
      </x:c>
      <x:c r="F259" s="9" t="str">
        <x:v>Motor neuron</x:v>
      </x:c>
      <x:c r="G259" s="9" t="str">
        <x:v>A nerve cell that transmits signals from the central nervous system to muscle fibers.</x:v>
      </x:c>
      <x:c r="H259" s="9" t="str">
        <x:v>OpenStax Biology 2e, 38.4 Muscle Contraction and Locomotion</x:v>
      </x:c>
      <x:c r="I259" s="9" t="str">
        <x:v>https://openstax.org/books/biology-2e/pages/38-4-muscle-contraction-and-locomotion</x:v>
      </x:c>
      <x:c r="J259" s="9" t="str">
        <x:v>Verified</x:v>
      </x:c>
    </x:row>
    <x:row r="260" ht="42" customHeight="1">
      <x:c r="A260" s="8" t="str">
        <x:v>B3.3-12</x:v>
      </x:c>
      <x:c r="B260" s="8" t="str">
        <x:v>B3.3</x:v>
      </x:c>
      <x:c r="C260" s="9" t="str">
        <x:v>Form and function</x:v>
      </x:c>
      <x:c r="D260" s="9" t="str">
        <x:v>Muscle and motility</x:v>
      </x:c>
      <x:c r="E260" s="9" t="str">
        <x:v>HL</x:v>
      </x:c>
      <x:c r="F260" s="9" t="str">
        <x:v>Neuromuscular junction</x:v>
      </x:c>
      <x:c r="G260" s="9" t="str">
        <x:v>The chemical synapse between a motor neuron terminal and a skeletal muscle fiber.</x:v>
      </x:c>
      <x:c r="H260" s="9" t="str">
        <x:v>OpenStax Biology 2e, 38.4 Muscle Contraction and Locomotion</x:v>
      </x:c>
      <x:c r="I260" s="9" t="str">
        <x:v>https://openstax.org/books/biology-2e/pages/38-4-muscle-contraction-and-locomotion</x:v>
      </x:c>
      <x:c r="J260" s="9" t="str">
        <x:v>Verified</x:v>
      </x:c>
    </x:row>
    <x:row r="261" ht="42" customHeight="1">
      <x:c r="A261" s="8" t="str">
        <x:v>B3.3-13</x:v>
      </x:c>
      <x:c r="B261" s="8" t="str">
        <x:v>B3.3</x:v>
      </x:c>
      <x:c r="C261" s="9" t="str">
        <x:v>Form and function</x:v>
      </x:c>
      <x:c r="D261" s="9" t="str">
        <x:v>Muscle and motility</x:v>
      </x:c>
      <x:c r="E261" s="9" t="str">
        <x:v>HL</x:v>
      </x:c>
      <x:c r="F261" s="9" t="str">
        <x:v>Acetylcholine</x:v>
      </x:c>
      <x:c r="G261" s="9" t="str">
        <x:v>The neurotransmitter released by motor neurons to depolarize skeletal muscle fibers.</x:v>
      </x:c>
      <x:c r="H261" s="9" t="str">
        <x:v>OpenStax Biology 2e, 38.4 Muscle Contraction and Locomotion</x:v>
      </x:c>
      <x:c r="I261" s="9" t="str">
        <x:v>https://openstax.org/books/biology-2e/pages/38-4-muscle-contraction-and-locomotion</x:v>
      </x:c>
      <x:c r="J261" s="9" t="str">
        <x:v>Verified</x:v>
      </x:c>
    </x:row>
    <x:row r="262" ht="42" customHeight="1">
      <x:c r="A262" s="8" t="str">
        <x:v>B3.3-14</x:v>
      </x:c>
      <x:c r="B262" s="8" t="str">
        <x:v>B3.3</x:v>
      </x:c>
      <x:c r="C262" s="9" t="str">
        <x:v>Form and function</x:v>
      </x:c>
      <x:c r="D262" s="9" t="str">
        <x:v>Muscle and motility</x:v>
      </x:c>
      <x:c r="E262" s="9" t="str">
        <x:v>HL</x:v>
      </x:c>
      <x:c r="F262" s="9" t="str">
        <x:v>Sarcoplasmic reticulum</x:v>
      </x:c>
      <x:c r="G262" s="9" t="str">
        <x:v>A specialized smooth endoplasmic reticulum that stores and releases calcium in muscle fibers.</x:v>
      </x:c>
      <x:c r="H262" s="9" t="str">
        <x:v>OpenStax Biology 2e, 38.4 Muscle Contraction and Locomotion</x:v>
      </x:c>
      <x:c r="I262" s="9" t="str">
        <x:v>https://openstax.org/books/biology-2e/pages/38-4-muscle-contraction-and-locomotion</x:v>
      </x:c>
      <x:c r="J262" s="9" t="str">
        <x:v>Verified</x:v>
      </x:c>
    </x:row>
    <x:row r="263" ht="42" customHeight="1">
      <x:c r="A263" s="8" t="str">
        <x:v>B3.3-15</x:v>
      </x:c>
      <x:c r="B263" s="8" t="str">
        <x:v>B3.3</x:v>
      </x:c>
      <x:c r="C263" s="9" t="str">
        <x:v>Form and function</x:v>
      </x:c>
      <x:c r="D263" s="9" t="str">
        <x:v>Muscle and motility</x:v>
      </x:c>
      <x:c r="E263" s="9" t="str">
        <x:v>HL</x:v>
      </x:c>
      <x:c r="F263" s="9" t="str">
        <x:v>Antagonistic muscle pair</x:v>
      </x:c>
      <x:c r="G263" s="9" t="str">
        <x:v>Two muscles that move a joint in opposite directions because one contracts as the other relaxes.</x:v>
      </x:c>
      <x:c r="H263" s="9" t="str">
        <x:v>OpenStax Biology 2e, 38.4 Muscle Contraction and Locomotion</x:v>
      </x:c>
      <x:c r="I263" s="9" t="str">
        <x:v>https://openstax.org/books/biology-2e/pages/38-4-muscle-contraction-and-locomotion</x:v>
      </x:c>
      <x:c r="J263" s="9" t="str">
        <x:v>Verified</x:v>
      </x:c>
    </x:row>
    <x:row r="264" ht="42" customHeight="1">
      <x:c r="A264" s="8" t="str">
        <x:v>B4.1-01</x:v>
      </x:c>
      <x:c r="B264" s="8" t="str">
        <x:v>B4.1</x:v>
      </x:c>
      <x:c r="C264" s="9" t="str">
        <x:v>Form and function</x:v>
      </x:c>
      <x:c r="D264" s="9" t="str">
        <x:v>Adaptation to environment</x:v>
      </x:c>
      <x:c r="E264" s="9" t="str">
        <x:v>SL/HL</x:v>
      </x:c>
      <x:c r="F264" s="9" t="str">
        <x:v>Adaptation</x:v>
      </x:c>
      <x:c r="G264" s="9" t="str">
        <x:v>An inherited feature that increases reproductive success in a particular environment.</x:v>
      </x:c>
      <x:c r="H264" s="9" t="str">
        <x:v>OpenStax Biology 2e, 44.2 Biogeography</x:v>
      </x:c>
      <x:c r="I264" s="9" t="str">
        <x:v>https://openstax.org/books/biology-2e/pages/44-2-biogeography</x:v>
      </x:c>
      <x:c r="J264" s="9" t="str">
        <x:v>Verified</x:v>
      </x:c>
    </x:row>
    <x:row r="265" ht="42" customHeight="1">
      <x:c r="A265" s="8" t="str">
        <x:v>B4.1-02</x:v>
      </x:c>
      <x:c r="B265" s="8" t="str">
        <x:v>B4.1</x:v>
      </x:c>
      <x:c r="C265" s="9" t="str">
        <x:v>Form and function</x:v>
      </x:c>
      <x:c r="D265" s="9" t="str">
        <x:v>Adaptation to environment</x:v>
      </x:c>
      <x:c r="E265" s="9" t="str">
        <x:v>SL/HL</x:v>
      </x:c>
      <x:c r="F265" s="9" t="str">
        <x:v>Acclimatization</x:v>
      </x:c>
      <x:c r="G265" s="9" t="str">
        <x:v>A reversible physiological adjustment by an individual in response to an environmental change.</x:v>
      </x:c>
      <x:c r="H265" s="9" t="str">
        <x:v>OpenStax Biology 2e, 44.2 Biogeography</x:v>
      </x:c>
      <x:c r="I265" s="9" t="str">
        <x:v>https://openstax.org/books/biology-2e/pages/44-2-biogeography</x:v>
      </x:c>
      <x:c r="J265" s="9" t="str">
        <x:v>Verified</x:v>
      </x:c>
    </x:row>
    <x:row r="266" ht="42" customHeight="1">
      <x:c r="A266" s="8" t="str">
        <x:v>B4.1-03</x:v>
      </x:c>
      <x:c r="B266" s="8" t="str">
        <x:v>B4.1</x:v>
      </x:c>
      <x:c r="C266" s="9" t="str">
        <x:v>Form and function</x:v>
      </x:c>
      <x:c r="D266" s="9" t="str">
        <x:v>Adaptation to environment</x:v>
      </x:c>
      <x:c r="E266" s="9" t="str">
        <x:v>SL/HL</x:v>
      </x:c>
      <x:c r="F266" s="9" t="str">
        <x:v>Structural adaptation</x:v>
      </x:c>
      <x:c r="G266" s="9" t="str">
        <x:v>An inherited anatomical feature that improves performance or survival in a particular environment.</x:v>
      </x:c>
      <x:c r="H266" s="9" t="str">
        <x:v>OpenStax Biology 2e, 44.2 Biogeography</x:v>
      </x:c>
      <x:c r="I266" s="9" t="str">
        <x:v>https://openstax.org/books/biology-2e/pages/44-2-biogeography</x:v>
      </x:c>
      <x:c r="J266" s="9" t="str">
        <x:v>Verified</x:v>
      </x:c>
    </x:row>
    <x:row r="267" ht="42" customHeight="1">
      <x:c r="A267" s="8" t="str">
        <x:v>B4.1-04</x:v>
      </x:c>
      <x:c r="B267" s="8" t="str">
        <x:v>B4.1</x:v>
      </x:c>
      <x:c r="C267" s="9" t="str">
        <x:v>Form and function</x:v>
      </x:c>
      <x:c r="D267" s="9" t="str">
        <x:v>Adaptation to environment</x:v>
      </x:c>
      <x:c r="E267" s="9" t="str">
        <x:v>SL/HL</x:v>
      </x:c>
      <x:c r="F267" s="9" t="str">
        <x:v>Physiological adaptation</x:v>
      </x:c>
      <x:c r="G267" s="9" t="str">
        <x:v>An inherited functional process that improves performance or survival under particular conditions.</x:v>
      </x:c>
      <x:c r="H267" s="9" t="str">
        <x:v>OpenStax Biology 2e, 44.2 Biogeography</x:v>
      </x:c>
      <x:c r="I267" s="9" t="str">
        <x:v>https://openstax.org/books/biology-2e/pages/44-2-biogeography</x:v>
      </x:c>
      <x:c r="J267" s="9" t="str">
        <x:v>Verified</x:v>
      </x:c>
    </x:row>
    <x:row r="268" ht="42" customHeight="1">
      <x:c r="A268" s="8" t="str">
        <x:v>B4.1-05</x:v>
      </x:c>
      <x:c r="B268" s="8" t="str">
        <x:v>B4.1</x:v>
      </x:c>
      <x:c r="C268" s="9" t="str">
        <x:v>Form and function</x:v>
      </x:c>
      <x:c r="D268" s="9" t="str">
        <x:v>Adaptation to environment</x:v>
      </x:c>
      <x:c r="E268" s="9" t="str">
        <x:v>SL/HL</x:v>
      </x:c>
      <x:c r="F268" s="9" t="str">
        <x:v>Behavioral adaptation</x:v>
      </x:c>
      <x:c r="G268" s="9" t="str">
        <x:v>An inherited pattern of action that improves survival or reproductive success.</x:v>
      </x:c>
      <x:c r="H268" s="9" t="str">
        <x:v>OpenStax Biology 2e, 44.2 Biogeography</x:v>
      </x:c>
      <x:c r="I268" s="9" t="str">
        <x:v>https://openstax.org/books/biology-2e/pages/44-2-biogeography</x:v>
      </x:c>
      <x:c r="J268" s="9" t="str">
        <x:v>Verified</x:v>
      </x:c>
    </x:row>
    <x:row r="269" ht="42" customHeight="1">
      <x:c r="A269" s="8" t="str">
        <x:v>B4.1-06</x:v>
      </x:c>
      <x:c r="B269" s="8" t="str">
        <x:v>B4.1</x:v>
      </x:c>
      <x:c r="C269" s="9" t="str">
        <x:v>Form and function</x:v>
      </x:c>
      <x:c r="D269" s="9" t="str">
        <x:v>Adaptation to environment</x:v>
      </x:c>
      <x:c r="E269" s="9" t="str">
        <x:v>SL/HL</x:v>
      </x:c>
      <x:c r="F269" s="9" t="str">
        <x:v>Phenotypic plasticity</x:v>
      </x:c>
      <x:c r="G269" s="9" t="str">
        <x:v>The ability of one genotype to produce different phenotypes under different environmental conditions.</x:v>
      </x:c>
      <x:c r="H269" s="9" t="str">
        <x:v>OpenStax Biology 2e, 44.2 Biogeography</x:v>
      </x:c>
      <x:c r="I269" s="9" t="str">
        <x:v>https://openstax.org/books/biology-2e/pages/44-2-biogeography</x:v>
      </x:c>
      <x:c r="J269" s="9" t="str">
        <x:v>Verified</x:v>
      </x:c>
    </x:row>
    <x:row r="270" ht="42" customHeight="1">
      <x:c r="A270" s="8" t="str">
        <x:v>B4.1-07</x:v>
      </x:c>
      <x:c r="B270" s="8" t="str">
        <x:v>B4.1</x:v>
      </x:c>
      <x:c r="C270" s="9" t="str">
        <x:v>Form and function</x:v>
      </x:c>
      <x:c r="D270" s="9" t="str">
        <x:v>Adaptation to environment</x:v>
      </x:c>
      <x:c r="E270" s="9" t="str">
        <x:v>SL/HL</x:v>
      </x:c>
      <x:c r="F270" s="9" t="str">
        <x:v>Xerophyte</x:v>
      </x:c>
      <x:c r="G270" s="9" t="str">
        <x:v>A plant adapted to habitats where liquid water is scarce.</x:v>
      </x:c>
      <x:c r="H270" s="9" t="str">
        <x:v>OpenStax Biology 2e, 44.2 Biogeography</x:v>
      </x:c>
      <x:c r="I270" s="9" t="str">
        <x:v>https://openstax.org/books/biology-2e/pages/44-2-biogeography</x:v>
      </x:c>
      <x:c r="J270" s="9" t="str">
        <x:v>Verified</x:v>
      </x:c>
    </x:row>
    <x:row r="271" ht="42" customHeight="1">
      <x:c r="A271" s="8" t="str">
        <x:v>B4.1-08</x:v>
      </x:c>
      <x:c r="B271" s="8" t="str">
        <x:v>B4.1</x:v>
      </x:c>
      <x:c r="C271" s="9" t="str">
        <x:v>Form and function</x:v>
      </x:c>
      <x:c r="D271" s="9" t="str">
        <x:v>Adaptation to environment</x:v>
      </x:c>
      <x:c r="E271" s="9" t="str">
        <x:v>SL/HL</x:v>
      </x:c>
      <x:c r="F271" s="9" t="str">
        <x:v>Hydrophyte</x:v>
      </x:c>
      <x:c r="G271" s="9" t="str">
        <x:v>A plant adapted to living partly or wholly in water.</x:v>
      </x:c>
      <x:c r="H271" s="9" t="str">
        <x:v>OpenStax Biology 2e, 44.2 Biogeography</x:v>
      </x:c>
      <x:c r="I271" s="9" t="str">
        <x:v>https://openstax.org/books/biology-2e/pages/44-2-biogeography</x:v>
      </x:c>
      <x:c r="J271" s="9" t="str">
        <x:v>Verified</x:v>
      </x:c>
    </x:row>
    <x:row r="272" ht="42" customHeight="1">
      <x:c r="A272" s="8" t="str">
        <x:v>B4.1-09</x:v>
      </x:c>
      <x:c r="B272" s="8" t="str">
        <x:v>B4.1</x:v>
      </x:c>
      <x:c r="C272" s="9" t="str">
        <x:v>Form and function</x:v>
      </x:c>
      <x:c r="D272" s="9" t="str">
        <x:v>Adaptation to environment</x:v>
      </x:c>
      <x:c r="E272" s="9" t="str">
        <x:v>SL/HL</x:v>
      </x:c>
      <x:c r="F272" s="9" t="str">
        <x:v>Halophyte</x:v>
      </x:c>
      <x:c r="G272" s="9" t="str">
        <x:v>A plant adapted to grow in a highly saline environment.</x:v>
      </x:c>
      <x:c r="H272" s="9" t="str">
        <x:v>OpenStax Biology 2e, 44.2 Biogeography</x:v>
      </x:c>
      <x:c r="I272" s="9" t="str">
        <x:v>https://openstax.org/books/biology-2e/pages/44-2-biogeography</x:v>
      </x:c>
      <x:c r="J272" s="9" t="str">
        <x:v>Verified</x:v>
      </x:c>
    </x:row>
    <x:row r="273" ht="42" customHeight="1">
      <x:c r="A273" s="8" t="str">
        <x:v>B4.1-10</x:v>
      </x:c>
      <x:c r="B273" s="8" t="str">
        <x:v>B4.1</x:v>
      </x:c>
      <x:c r="C273" s="9" t="str">
        <x:v>Form and function</x:v>
      </x:c>
      <x:c r="D273" s="9" t="str">
        <x:v>Adaptation to environment</x:v>
      </x:c>
      <x:c r="E273" s="9" t="str">
        <x:v>SL/HL</x:v>
      </x:c>
      <x:c r="F273" s="9" t="str">
        <x:v>Thermoregulation</x:v>
      </x:c>
      <x:c r="G273" s="9" t="str">
        <x:v>Control of body temperature through physiological or behavioral mechanisms.</x:v>
      </x:c>
      <x:c r="H273" s="9" t="str">
        <x:v>OpenStax Biology 2e, 44.2 Biogeography</x:v>
      </x:c>
      <x:c r="I273" s="9" t="str">
        <x:v>https://openstax.org/books/biology-2e/pages/44-2-biogeography</x:v>
      </x:c>
      <x:c r="J273" s="9" t="str">
        <x:v>Verified</x:v>
      </x:c>
    </x:row>
    <x:row r="274" ht="42" customHeight="1">
      <x:c r="A274" s="8" t="str">
        <x:v>B4.1-11</x:v>
      </x:c>
      <x:c r="B274" s="8" t="str">
        <x:v>B4.1</x:v>
      </x:c>
      <x:c r="C274" s="9" t="str">
        <x:v>Form and function</x:v>
      </x:c>
      <x:c r="D274" s="9" t="str">
        <x:v>Adaptation to environment</x:v>
      </x:c>
      <x:c r="E274" s="9" t="str">
        <x:v>SL/HL</x:v>
      </x:c>
      <x:c r="F274" s="9" t="str">
        <x:v>Ectotherm</x:v>
      </x:c>
      <x:c r="G274" s="9" t="str">
        <x:v>An animal whose body temperature depends mainly on external heat sources.</x:v>
      </x:c>
      <x:c r="H274" s="9" t="str">
        <x:v>OpenStax Biology 2e, 44.2 Biogeography</x:v>
      </x:c>
      <x:c r="I274" s="9" t="str">
        <x:v>https://openstax.org/books/biology-2e/pages/44-2-biogeography</x:v>
      </x:c>
      <x:c r="J274" s="9" t="str">
        <x:v>Verified</x:v>
      </x:c>
    </x:row>
    <x:row r="275" ht="42" customHeight="1">
      <x:c r="A275" s="8" t="str">
        <x:v>B4.1-12</x:v>
      </x:c>
      <x:c r="B275" s="8" t="str">
        <x:v>B4.1</x:v>
      </x:c>
      <x:c r="C275" s="9" t="str">
        <x:v>Form and function</x:v>
      </x:c>
      <x:c r="D275" s="9" t="str">
        <x:v>Adaptation to environment</x:v>
      </x:c>
      <x:c r="E275" s="9" t="str">
        <x:v>SL/HL</x:v>
      </x:c>
      <x:c r="F275" s="9" t="str">
        <x:v>Endotherm</x:v>
      </x:c>
      <x:c r="G275" s="9" t="str">
        <x:v>An animal that maintains substantial body heat through internally generated metabolism.</x:v>
      </x:c>
      <x:c r="H275" s="9" t="str">
        <x:v>OpenStax Biology 2e, 44.2 Biogeography</x:v>
      </x:c>
      <x:c r="I275" s="9" t="str">
        <x:v>https://openstax.org/books/biology-2e/pages/44-2-biogeography</x:v>
      </x:c>
      <x:c r="J275" s="9" t="str">
        <x:v>Verified</x:v>
      </x:c>
    </x:row>
    <x:row r="276" ht="42" customHeight="1">
      <x:c r="A276" s="8" t="str">
        <x:v>B4.1-13</x:v>
      </x:c>
      <x:c r="B276" s="8" t="str">
        <x:v>B4.1</x:v>
      </x:c>
      <x:c r="C276" s="9" t="str">
        <x:v>Form and function</x:v>
      </x:c>
      <x:c r="D276" s="9" t="str">
        <x:v>Adaptation to environment</x:v>
      </x:c>
      <x:c r="E276" s="9" t="str">
        <x:v>SL/HL</x:v>
      </x:c>
      <x:c r="F276" s="9" t="str">
        <x:v>Insulation</x:v>
      </x:c>
      <x:c r="G276" s="9" t="str">
        <x:v>Material or tissue that reduces heat transfer between an organism and its environment.</x:v>
      </x:c>
      <x:c r="H276" s="9" t="str">
        <x:v>OpenStax Biology 2e, 44.2 Biogeography</x:v>
      </x:c>
      <x:c r="I276" s="9" t="str">
        <x:v>https://openstax.org/books/biology-2e/pages/44-2-biogeography</x:v>
      </x:c>
      <x:c r="J276" s="9" t="str">
        <x:v>Verified</x:v>
      </x:c>
    </x:row>
    <x:row r="277" ht="42" customHeight="1">
      <x:c r="A277" s="8" t="str">
        <x:v>B4.1-14</x:v>
      </x:c>
      <x:c r="B277" s="8" t="str">
        <x:v>B4.1</x:v>
      </x:c>
      <x:c r="C277" s="9" t="str">
        <x:v>Form and function</x:v>
      </x:c>
      <x:c r="D277" s="9" t="str">
        <x:v>Adaptation to environment</x:v>
      </x:c>
      <x:c r="E277" s="9" t="str">
        <x:v>SL/HL</x:v>
      </x:c>
      <x:c r="F277" s="9" t="str">
        <x:v>Countercurrent heat exchange</x:v>
      </x:c>
      <x:c r="G277" s="9" t="str">
        <x:v>Opposite flow of warm and cool blood that conserves heat by maintaining a transfer gradient.</x:v>
      </x:c>
      <x:c r="H277" s="9" t="str">
        <x:v>OpenStax Biology 2e, 44.2 Biogeography</x:v>
      </x:c>
      <x:c r="I277" s="9" t="str">
        <x:v>https://openstax.org/books/biology-2e/pages/44-2-biogeography</x:v>
      </x:c>
      <x:c r="J277" s="9" t="str">
        <x:v>Verified</x:v>
      </x:c>
    </x:row>
    <x:row r="278" ht="42" customHeight="1">
      <x:c r="A278" s="8" t="str">
        <x:v>B4.1-15</x:v>
      </x:c>
      <x:c r="B278" s="8" t="str">
        <x:v>B4.1</x:v>
      </x:c>
      <x:c r="C278" s="9" t="str">
        <x:v>Form and function</x:v>
      </x:c>
      <x:c r="D278" s="9" t="str">
        <x:v>Adaptation to environment</x:v>
      </x:c>
      <x:c r="E278" s="9" t="str">
        <x:v>SL/HL</x:v>
      </x:c>
      <x:c r="F278" s="9" t="str">
        <x:v>Osmoregulation</x:v>
      </x:c>
      <x:c r="G278" s="9" t="str">
        <x:v>Control of water balance and solute concentrations in body fluids.</x:v>
      </x:c>
      <x:c r="H278" s="9" t="str">
        <x:v>OpenStax Biology 2e, 44.2 Biogeography</x:v>
      </x:c>
      <x:c r="I278" s="9" t="str">
        <x:v>https://openstax.org/books/biology-2e/pages/44-2-biogeography</x:v>
      </x:c>
      <x:c r="J278" s="9" t="str">
        <x:v>Verified</x:v>
      </x:c>
    </x:row>
    <x:row r="279" ht="42" customHeight="1">
      <x:c r="A279" s="8" t="str">
        <x:v>B4.2-01</x:v>
      </x:c>
      <x:c r="B279" s="8" t="str">
        <x:v>B4.2</x:v>
      </x:c>
      <x:c r="C279" s="9" t="str">
        <x:v>Form and function</x:v>
      </x:c>
      <x:c r="D279" s="9" t="str">
        <x:v>Ecological niches</x:v>
      </x:c>
      <x:c r="E279" s="9" t="str">
        <x:v>SL/HL</x:v>
      </x:c>
      <x:c r="F279" s="9" t="str">
        <x:v>Ecological niche</x:v>
      </x:c>
      <x:c r="G279" s="9" t="str">
        <x:v>A species’ multidimensional role, resource use, and tolerated conditions within an ecosystem.</x:v>
      </x:c>
      <x:c r="H279" s="9" t="str">
        <x:v>OpenStax Biology 2e, 45.6 Community Ecology</x:v>
      </x:c>
      <x:c r="I279" s="9" t="str">
        <x:v>https://openstax.org/books/biology-2e/pages/45-6-community-ecology</x:v>
      </x:c>
      <x:c r="J279" s="9" t="str">
        <x:v>Verified</x:v>
      </x:c>
    </x:row>
    <x:row r="280" ht="42" customHeight="1">
      <x:c r="A280" s="8" t="str">
        <x:v>B4.2-02</x:v>
      </x:c>
      <x:c r="B280" s="8" t="str">
        <x:v>B4.2</x:v>
      </x:c>
      <x:c r="C280" s="9" t="str">
        <x:v>Form and function</x:v>
      </x:c>
      <x:c r="D280" s="9" t="str">
        <x:v>Ecological niches</x:v>
      </x:c>
      <x:c r="E280" s="9" t="str">
        <x:v>SL/HL</x:v>
      </x:c>
      <x:c r="F280" s="9" t="str">
        <x:v>Fundamental niche</x:v>
      </x:c>
      <x:c r="G280" s="9" t="str">
        <x:v>The full range of conditions and resources a species could use without biotic constraints.</x:v>
      </x:c>
      <x:c r="H280" s="9" t="str">
        <x:v>OpenStax Biology 2e, 45.6 Community Ecology</x:v>
      </x:c>
      <x:c r="I280" s="9" t="str">
        <x:v>https://openstax.org/books/biology-2e/pages/45-6-community-ecology</x:v>
      </x:c>
      <x:c r="J280" s="9" t="str">
        <x:v>Verified</x:v>
      </x:c>
    </x:row>
    <x:row r="281" ht="42" customHeight="1">
      <x:c r="A281" s="8" t="str">
        <x:v>B4.2-03</x:v>
      </x:c>
      <x:c r="B281" s="8" t="str">
        <x:v>B4.2</x:v>
      </x:c>
      <x:c r="C281" s="9" t="str">
        <x:v>Form and function</x:v>
      </x:c>
      <x:c r="D281" s="9" t="str">
        <x:v>Ecological niches</x:v>
      </x:c>
      <x:c r="E281" s="9" t="str">
        <x:v>SL/HL</x:v>
      </x:c>
      <x:c r="F281" s="9" t="str">
        <x:v>Realized niche</x:v>
      </x:c>
      <x:c r="G281" s="9" t="str">
        <x:v>The conditions and resources a species actually uses after biotic interactions restrict it.</x:v>
      </x:c>
      <x:c r="H281" s="9" t="str">
        <x:v>OpenStax Biology 2e, 45.6 Community Ecology</x:v>
      </x:c>
      <x:c r="I281" s="9" t="str">
        <x:v>https://openstax.org/books/biology-2e/pages/45-6-community-ecology</x:v>
      </x:c>
      <x:c r="J281" s="9" t="str">
        <x:v>Verified</x:v>
      </x:c>
    </x:row>
    <x:row r="282" ht="42" customHeight="1">
      <x:c r="A282" s="8" t="str">
        <x:v>B4.2-04</x:v>
      </x:c>
      <x:c r="B282" s="8" t="str">
        <x:v>B4.2</x:v>
      </x:c>
      <x:c r="C282" s="9" t="str">
        <x:v>Form and function</x:v>
      </x:c>
      <x:c r="D282" s="9" t="str">
        <x:v>Ecological niches</x:v>
      </x:c>
      <x:c r="E282" s="9" t="str">
        <x:v>SL/HL</x:v>
      </x:c>
      <x:c r="F282" s="9" t="str">
        <x:v>Habitat</x:v>
      </x:c>
      <x:c r="G282" s="9" t="str">
        <x:v>The physical place or environment in which an organism lives.</x:v>
      </x:c>
      <x:c r="H282" s="9" t="str">
        <x:v>OpenStax Biology 2e, 45.6 Community Ecology</x:v>
      </x:c>
      <x:c r="I282" s="9" t="str">
        <x:v>https://openstax.org/books/biology-2e/pages/45-6-community-ecology</x:v>
      </x:c>
      <x:c r="J282" s="9" t="str">
        <x:v>Verified</x:v>
      </x:c>
    </x:row>
    <x:row r="283" ht="42" customHeight="1">
      <x:c r="A283" s="8" t="str">
        <x:v>B4.2-05</x:v>
      </x:c>
      <x:c r="B283" s="8" t="str">
        <x:v>B4.2</x:v>
      </x:c>
      <x:c r="C283" s="9" t="str">
        <x:v>Form and function</x:v>
      </x:c>
      <x:c r="D283" s="9" t="str">
        <x:v>Ecological niches</x:v>
      </x:c>
      <x:c r="E283" s="9" t="str">
        <x:v>SL/HL</x:v>
      </x:c>
      <x:c r="F283" s="9" t="str">
        <x:v>Resource partitioning</x:v>
      </x:c>
      <x:c r="G283" s="9" t="str">
        <x:v>Division of limited resources among competing species through differences in use, place, or time.</x:v>
      </x:c>
      <x:c r="H283" s="9" t="str">
        <x:v>OpenStax Biology 2e, 45.6 Community Ecology</x:v>
      </x:c>
      <x:c r="I283" s="9" t="str">
        <x:v>https://openstax.org/books/biology-2e/pages/45-6-community-ecology</x:v>
      </x:c>
      <x:c r="J283" s="9" t="str">
        <x:v>Verified</x:v>
      </x:c>
    </x:row>
    <x:row r="284" ht="42" customHeight="1">
      <x:c r="A284" s="8" t="str">
        <x:v>B4.2-06</x:v>
      </x:c>
      <x:c r="B284" s="8" t="str">
        <x:v>B4.2</x:v>
      </x:c>
      <x:c r="C284" s="9" t="str">
        <x:v>Form and function</x:v>
      </x:c>
      <x:c r="D284" s="9" t="str">
        <x:v>Ecological niches</x:v>
      </x:c>
      <x:c r="E284" s="9" t="str">
        <x:v>SL/HL</x:v>
      </x:c>
      <x:c r="F284" s="9" t="str">
        <x:v>Competitive exclusion principle</x:v>
      </x:c>
      <x:c r="G284" s="9" t="str">
        <x:v>The prediction that species with identical niches cannot coexist indefinitely when a shared resource is limiting.</x:v>
      </x:c>
      <x:c r="H284" s="9" t="str">
        <x:v>OpenStax Biology 2e, 45.6 Community Ecology</x:v>
      </x:c>
      <x:c r="I284" s="9" t="str">
        <x:v>https://openstax.org/books/biology-2e/pages/45-6-community-ecology</x:v>
      </x:c>
      <x:c r="J284" s="9" t="str">
        <x:v>Verified</x:v>
      </x:c>
    </x:row>
    <x:row r="285" ht="42" customHeight="1">
      <x:c r="A285" s="8" t="str">
        <x:v>B4.2-07</x:v>
      </x:c>
      <x:c r="B285" s="8" t="str">
        <x:v>B4.2</x:v>
      </x:c>
      <x:c r="C285" s="9" t="str">
        <x:v>Form and function</x:v>
      </x:c>
      <x:c r="D285" s="9" t="str">
        <x:v>Ecological niches</x:v>
      </x:c>
      <x:c r="E285" s="9" t="str">
        <x:v>SL/HL</x:v>
      </x:c>
      <x:c r="F285" s="9" t="str">
        <x:v>Interspecific competition</x:v>
      </x:c>
      <x:c r="G285" s="9" t="str">
        <x:v>Competition between individuals of different species for a limiting resource.</x:v>
      </x:c>
      <x:c r="H285" s="9" t="str">
        <x:v>OpenStax Biology 2e, 45.6 Community Ecology</x:v>
      </x:c>
      <x:c r="I285" s="9" t="str">
        <x:v>https://openstax.org/books/biology-2e/pages/45-6-community-ecology</x:v>
      </x:c>
      <x:c r="J285" s="9" t="str">
        <x:v>Verified</x:v>
      </x:c>
    </x:row>
    <x:row r="286" ht="42" customHeight="1">
      <x:c r="A286" s="8" t="str">
        <x:v>B4.2-08</x:v>
      </x:c>
      <x:c r="B286" s="8" t="str">
        <x:v>B4.2</x:v>
      </x:c>
      <x:c r="C286" s="9" t="str">
        <x:v>Form and function</x:v>
      </x:c>
      <x:c r="D286" s="9" t="str">
        <x:v>Ecological niches</x:v>
      </x:c>
      <x:c r="E286" s="9" t="str">
        <x:v>SL/HL</x:v>
      </x:c>
      <x:c r="F286" s="9" t="str">
        <x:v>Intraspecific competition</x:v>
      </x:c>
      <x:c r="G286" s="9" t="str">
        <x:v>Competition among members of the same species for a limiting resource.</x:v>
      </x:c>
      <x:c r="H286" s="9" t="str">
        <x:v>OpenStax Biology 2e, 45.6 Community Ecology</x:v>
      </x:c>
      <x:c r="I286" s="9" t="str">
        <x:v>https://openstax.org/books/biology-2e/pages/45-6-community-ecology</x:v>
      </x:c>
      <x:c r="J286" s="9" t="str">
        <x:v>Verified</x:v>
      </x:c>
    </x:row>
    <x:row r="287" ht="42" customHeight="1">
      <x:c r="A287" s="8" t="str">
        <x:v>B4.2-09</x:v>
      </x:c>
      <x:c r="B287" s="8" t="str">
        <x:v>B4.2</x:v>
      </x:c>
      <x:c r="C287" s="9" t="str">
        <x:v>Form and function</x:v>
      </x:c>
      <x:c r="D287" s="9" t="str">
        <x:v>Ecological niches</x:v>
      </x:c>
      <x:c r="E287" s="9" t="str">
        <x:v>SL/HL</x:v>
      </x:c>
      <x:c r="F287" s="9" t="str">
        <x:v>Predation</x:v>
      </x:c>
      <x:c r="G287" s="9" t="str">
        <x:v>An interaction in which one organism kills and consumes another organism.</x:v>
      </x:c>
      <x:c r="H287" s="9" t="str">
        <x:v>OpenStax Biology 2e, 45.6 Community Ecology</x:v>
      </x:c>
      <x:c r="I287" s="9" t="str">
        <x:v>https://openstax.org/books/biology-2e/pages/45-6-community-ecology</x:v>
      </x:c>
      <x:c r="J287" s="9" t="str">
        <x:v>Verified</x:v>
      </x:c>
    </x:row>
    <x:row r="288" ht="42" customHeight="1">
      <x:c r="A288" s="8" t="str">
        <x:v>B4.2-10</x:v>
      </x:c>
      <x:c r="B288" s="8" t="str">
        <x:v>B4.2</x:v>
      </x:c>
      <x:c r="C288" s="9" t="str">
        <x:v>Form and function</x:v>
      </x:c>
      <x:c r="D288" s="9" t="str">
        <x:v>Ecological niches</x:v>
      </x:c>
      <x:c r="E288" s="9" t="str">
        <x:v>SL/HL</x:v>
      </x:c>
      <x:c r="F288" s="9" t="str">
        <x:v>Mutualism</x:v>
      </x:c>
      <x:c r="G288" s="9" t="str">
        <x:v>A close interaction in which both participating species gain a net benefit.</x:v>
      </x:c>
      <x:c r="H288" s="9" t="str">
        <x:v>OpenStax Biology 2e, 45.6 Community Ecology</x:v>
      </x:c>
      <x:c r="I288" s="9" t="str">
        <x:v>https://openstax.org/books/biology-2e/pages/45-6-community-ecology</x:v>
      </x:c>
      <x:c r="J288" s="9" t="str">
        <x:v>Verified</x:v>
      </x:c>
    </x:row>
    <x:row r="289" ht="42" customHeight="1">
      <x:c r="A289" s="8" t="str">
        <x:v>B4.2-11</x:v>
      </x:c>
      <x:c r="B289" s="8" t="str">
        <x:v>B4.2</x:v>
      </x:c>
      <x:c r="C289" s="9" t="str">
        <x:v>Form and function</x:v>
      </x:c>
      <x:c r="D289" s="9" t="str">
        <x:v>Ecological niches</x:v>
      </x:c>
      <x:c r="E289" s="9" t="str">
        <x:v>SL/HL</x:v>
      </x:c>
      <x:c r="F289" s="9" t="str">
        <x:v>Commensalism</x:v>
      </x:c>
      <x:c r="G289" s="9" t="str">
        <x:v>An interaction in which one species benefits while the other is neither significantly helped nor harmed.</x:v>
      </x:c>
      <x:c r="H289" s="9" t="str">
        <x:v>OpenStax Biology 2e, 45.6 Community Ecology</x:v>
      </x:c>
      <x:c r="I289" s="9" t="str">
        <x:v>https://openstax.org/books/biology-2e/pages/45-6-community-ecology</x:v>
      </x:c>
      <x:c r="J289" s="9" t="str">
        <x:v>Verified</x:v>
      </x:c>
    </x:row>
    <x:row r="290" ht="42" customHeight="1">
      <x:c r="A290" s="8" t="str">
        <x:v>B4.2-12</x:v>
      </x:c>
      <x:c r="B290" s="8" t="str">
        <x:v>B4.2</x:v>
      </x:c>
      <x:c r="C290" s="9" t="str">
        <x:v>Form and function</x:v>
      </x:c>
      <x:c r="D290" s="9" t="str">
        <x:v>Ecological niches</x:v>
      </x:c>
      <x:c r="E290" s="9" t="str">
        <x:v>SL/HL</x:v>
      </x:c>
      <x:c r="F290" s="9" t="str">
        <x:v>Parasitism</x:v>
      </x:c>
      <x:c r="G290" s="9" t="str">
        <x:v>An interaction in which a parasite benefits while reducing the fitness of its host.</x:v>
      </x:c>
      <x:c r="H290" s="9" t="str">
        <x:v>OpenStax Biology 2e, 45.6 Community Ecology</x:v>
      </x:c>
      <x:c r="I290" s="9" t="str">
        <x:v>https://openstax.org/books/biology-2e/pages/45-6-community-ecology</x:v>
      </x:c>
      <x:c r="J290" s="9" t="str">
        <x:v>Verified</x:v>
      </x:c>
    </x:row>
    <x:row r="291" ht="42" customHeight="1">
      <x:c r="A291" s="8" t="str">
        <x:v>B4.2-13</x:v>
      </x:c>
      <x:c r="B291" s="8" t="str">
        <x:v>B4.2</x:v>
      </x:c>
      <x:c r="C291" s="9" t="str">
        <x:v>Form and function</x:v>
      </x:c>
      <x:c r="D291" s="9" t="str">
        <x:v>Ecological niches</x:v>
      </x:c>
      <x:c r="E291" s="9" t="str">
        <x:v>SL/HL</x:v>
      </x:c>
      <x:c r="F291" s="9" t="str">
        <x:v>Abiotic factor</x:v>
      </x:c>
      <x:c r="G291" s="9" t="str">
        <x:v>A non-living physical or chemical component of an environment.</x:v>
      </x:c>
      <x:c r="H291" s="9" t="str">
        <x:v>OpenStax Biology 2e, 45.6 Community Ecology</x:v>
      </x:c>
      <x:c r="I291" s="9" t="str">
        <x:v>https://openstax.org/books/biology-2e/pages/45-6-community-ecology</x:v>
      </x:c>
      <x:c r="J291" s="9" t="str">
        <x:v>Verified</x:v>
      </x:c>
    </x:row>
    <x:row r="292" ht="42" customHeight="1">
      <x:c r="A292" s="8" t="str">
        <x:v>B4.2-14</x:v>
      </x:c>
      <x:c r="B292" s="8" t="str">
        <x:v>B4.2</x:v>
      </x:c>
      <x:c r="C292" s="9" t="str">
        <x:v>Form and function</x:v>
      </x:c>
      <x:c r="D292" s="9" t="str">
        <x:v>Ecological niches</x:v>
      </x:c>
      <x:c r="E292" s="9" t="str">
        <x:v>SL/HL</x:v>
      </x:c>
      <x:c r="F292" s="9" t="str">
        <x:v>Biotic factor</x:v>
      </x:c>
      <x:c r="G292" s="9" t="str">
        <x:v>A living component or biological interaction that affects an organism.</x:v>
      </x:c>
      <x:c r="H292" s="9" t="str">
        <x:v>OpenStax Biology 2e, 45.6 Community Ecology</x:v>
      </x:c>
      <x:c r="I292" s="9" t="str">
        <x:v>https://openstax.org/books/biology-2e/pages/45-6-community-ecology</x:v>
      </x:c>
      <x:c r="J292" s="9" t="str">
        <x:v>Verified</x:v>
      </x:c>
    </x:row>
    <x:row r="293" ht="42" customHeight="1">
      <x:c r="A293" s="8" t="str">
        <x:v>B4.2-15</x:v>
      </x:c>
      <x:c r="B293" s="8" t="str">
        <x:v>B4.2</x:v>
      </x:c>
      <x:c r="C293" s="9" t="str">
        <x:v>Form and function</x:v>
      </x:c>
      <x:c r="D293" s="9" t="str">
        <x:v>Ecological niches</x:v>
      </x:c>
      <x:c r="E293" s="9" t="str">
        <x:v>SL/HL</x:v>
      </x:c>
      <x:c r="F293" s="9" t="str">
        <x:v>Tolerance range</x:v>
      </x:c>
      <x:c r="G293" s="9" t="str">
        <x:v>The span of an environmental variable within which an organism can survive and reproduce.</x:v>
      </x:c>
      <x:c r="H293" s="9" t="str">
        <x:v>OpenStax Biology 2e, 45.6 Community Ecology</x:v>
      </x:c>
      <x:c r="I293" s="9" t="str">
        <x:v>https://openstax.org/books/biology-2e/pages/45-6-community-ecology</x:v>
      </x:c>
      <x:c r="J293" s="9" t="str">
        <x:v>Verified</x:v>
      </x:c>
    </x:row>
    <x:row r="294" ht="42" customHeight="1">
      <x:c r="A294" s="8" t="str">
        <x:v>B4.2-16</x:v>
      </x:c>
      <x:c r="B294" s="8" t="str">
        <x:v>B4.2</x:v>
      </x:c>
      <x:c r="C294" s="9" t="str">
        <x:v>Form and function</x:v>
      </x:c>
      <x:c r="D294" s="9" t="str">
        <x:v>Ecological niches</x:v>
      </x:c>
      <x:c r="E294" s="9" t="str">
        <x:v>SL/HL</x:v>
      </x:c>
      <x:c r="F294" s="9" t="str">
        <x:v>Limiting factor</x:v>
      </x:c>
      <x:c r="G294" s="9" t="str">
        <x:v>An environmental resource or condition whose scarcity or excess restricts distribution, abundance, or growth.</x:v>
      </x:c>
      <x:c r="H294" s="9" t="str">
        <x:v>OpenStax Biology 2e, 45.6 Community Ecology</x:v>
      </x:c>
      <x:c r="I294" s="9" t="str">
        <x:v>https://openstax.org/books/biology-2e/pages/45-6-community-ecology</x:v>
      </x:c>
      <x:c r="J294" s="9" t="str">
        <x:v>Verified</x:v>
      </x:c>
    </x:row>
    <x:row r="295" ht="42" customHeight="1">
      <x:c r="A295" s="8" t="str">
        <x:v>C1.1-01</x:v>
      </x:c>
      <x:c r="B295" s="8" t="str">
        <x:v>C1.1</x:v>
      </x:c>
      <x:c r="C295" s="9" t="str">
        <x:v>Interaction and interdependence</x:v>
      </x:c>
      <x:c r="D295" s="9" t="str">
        <x:v>Enzymes and metabolism</x:v>
      </x:c>
      <x:c r="E295" s="9" t="str">
        <x:v>SL/HL</x:v>
      </x:c>
      <x:c r="F295" s="9" t="str">
        <x:v>Metabolism</x:v>
      </x:c>
      <x:c r="G295" s="9" t="str">
        <x:v>The complete set of chemical reactions occurring in a cell or organism.</x:v>
      </x:c>
      <x:c r="H295" s="9" t="str">
        <x:v>OpenStax Biology 2e, 6.5 Enzymes</x:v>
      </x:c>
      <x:c r="I295" s="9" t="str">
        <x:v>https://openstax.org/books/biology-2e/pages/6-5-enzymes</x:v>
      </x:c>
      <x:c r="J295" s="9" t="str">
        <x:v>Verified</x:v>
      </x:c>
    </x:row>
    <x:row r="296" ht="42" customHeight="1">
      <x:c r="A296" s="8" t="str">
        <x:v>C1.1-02</x:v>
      </x:c>
      <x:c r="B296" s="8" t="str">
        <x:v>C1.1</x:v>
      </x:c>
      <x:c r="C296" s="9" t="str">
        <x:v>Interaction and interdependence</x:v>
      </x:c>
      <x:c r="D296" s="9" t="str">
        <x:v>Enzymes and metabolism</x:v>
      </x:c>
      <x:c r="E296" s="9" t="str">
        <x:v>SL/HL</x:v>
      </x:c>
      <x:c r="F296" s="9" t="str">
        <x:v>Anabolic pathway</x:v>
      </x:c>
      <x:c r="G296" s="9" t="str">
        <x:v>A sequence of energy-requiring reactions that builds complex molecules from simpler ones.</x:v>
      </x:c>
      <x:c r="H296" s="9" t="str">
        <x:v>OpenStax Biology 2e, 6.5 Enzymes</x:v>
      </x:c>
      <x:c r="I296" s="9" t="str">
        <x:v>https://openstax.org/books/biology-2e/pages/6-5-enzymes</x:v>
      </x:c>
      <x:c r="J296" s="9" t="str">
        <x:v>Verified</x:v>
      </x:c>
    </x:row>
    <x:row r="297" ht="42" customHeight="1">
      <x:c r="A297" s="8" t="str">
        <x:v>C1.1-03</x:v>
      </x:c>
      <x:c r="B297" s="8" t="str">
        <x:v>C1.1</x:v>
      </x:c>
      <x:c r="C297" s="9" t="str">
        <x:v>Interaction and interdependence</x:v>
      </x:c>
      <x:c r="D297" s="9" t="str">
        <x:v>Enzymes and metabolism</x:v>
      </x:c>
      <x:c r="E297" s="9" t="str">
        <x:v>SL/HL</x:v>
      </x:c>
      <x:c r="F297" s="9" t="str">
        <x:v>Catabolic pathway</x:v>
      </x:c>
      <x:c r="G297" s="9" t="str">
        <x:v>A sequence of reactions that breaks complex molecules into simpler ones and releases usable energy.</x:v>
      </x:c>
      <x:c r="H297" s="9" t="str">
        <x:v>OpenStax Biology 2e, 6.5 Enzymes</x:v>
      </x:c>
      <x:c r="I297" s="9" t="str">
        <x:v>https://openstax.org/books/biology-2e/pages/6-5-enzymes</x:v>
      </x:c>
      <x:c r="J297" s="9" t="str">
        <x:v>Verified</x:v>
      </x:c>
    </x:row>
    <x:row r="298" ht="42" customHeight="1">
      <x:c r="A298" s="8" t="str">
        <x:v>C1.1-04</x:v>
      </x:c>
      <x:c r="B298" s="8" t="str">
        <x:v>C1.1</x:v>
      </x:c>
      <x:c r="C298" s="9" t="str">
        <x:v>Interaction and interdependence</x:v>
      </x:c>
      <x:c r="D298" s="9" t="str">
        <x:v>Enzymes and metabolism</x:v>
      </x:c>
      <x:c r="E298" s="9" t="str">
        <x:v>SL/HL</x:v>
      </x:c>
      <x:c r="F298" s="9" t="str">
        <x:v>Enzyme</x:v>
      </x:c>
      <x:c r="G298" s="9" t="str">
        <x:v>A biological catalyst that increases reaction rate without being consumed by the reaction.</x:v>
      </x:c>
      <x:c r="H298" s="9" t="str">
        <x:v>OpenStax Biology 2e, 6.5 Enzymes</x:v>
      </x:c>
      <x:c r="I298" s="9" t="str">
        <x:v>https://openstax.org/books/biology-2e/pages/6-5-enzymes</x:v>
      </x:c>
      <x:c r="J298" s="9" t="str">
        <x:v>Verified</x:v>
      </x:c>
    </x:row>
    <x:row r="299" ht="42" customHeight="1">
      <x:c r="A299" s="8" t="str">
        <x:v>C1.1-05</x:v>
      </x:c>
      <x:c r="B299" s="8" t="str">
        <x:v>C1.1</x:v>
      </x:c>
      <x:c r="C299" s="9" t="str">
        <x:v>Interaction and interdependence</x:v>
      </x:c>
      <x:c r="D299" s="9" t="str">
        <x:v>Enzymes and metabolism</x:v>
      </x:c>
      <x:c r="E299" s="9" t="str">
        <x:v>SL/HL</x:v>
      </x:c>
      <x:c r="F299" s="9" t="str">
        <x:v>Active site</x:v>
      </x:c>
      <x:c r="G299" s="9" t="str">
        <x:v>The region of an enzyme where specific substrates bind and catalysis occurs.</x:v>
      </x:c>
      <x:c r="H299" s="9" t="str">
        <x:v>OpenStax Biology 2e, 6.5 Enzymes</x:v>
      </x:c>
      <x:c r="I299" s="9" t="str">
        <x:v>https://openstax.org/books/biology-2e/pages/6-5-enzymes</x:v>
      </x:c>
      <x:c r="J299" s="9" t="str">
        <x:v>Verified</x:v>
      </x:c>
    </x:row>
    <x:row r="300" ht="42" customHeight="1">
      <x:c r="A300" s="8" t="str">
        <x:v>C1.1-06</x:v>
      </x:c>
      <x:c r="B300" s="8" t="str">
        <x:v>C1.1</x:v>
      </x:c>
      <x:c r="C300" s="9" t="str">
        <x:v>Interaction and interdependence</x:v>
      </x:c>
      <x:c r="D300" s="9" t="str">
        <x:v>Enzymes and metabolism</x:v>
      </x:c>
      <x:c r="E300" s="9" t="str">
        <x:v>SL/HL</x:v>
      </x:c>
      <x:c r="F300" s="9" t="str">
        <x:v>Substrate</x:v>
      </x:c>
      <x:c r="G300" s="9" t="str">
        <x:v>A reactant molecule that binds to an enzyme and is chemically changed.</x:v>
      </x:c>
      <x:c r="H300" s="9" t="str">
        <x:v>OpenStax Biology 2e, 6.5 Enzymes</x:v>
      </x:c>
      <x:c r="I300" s="9" t="str">
        <x:v>https://openstax.org/books/biology-2e/pages/6-5-enzymes</x:v>
      </x:c>
      <x:c r="J300" s="9" t="str">
        <x:v>Verified</x:v>
      </x:c>
    </x:row>
    <x:row r="301" ht="42" customHeight="1">
      <x:c r="A301" s="8" t="str">
        <x:v>C1.1-07</x:v>
      </x:c>
      <x:c r="B301" s="8" t="str">
        <x:v>C1.1</x:v>
      </x:c>
      <x:c r="C301" s="9" t="str">
        <x:v>Interaction and interdependence</x:v>
      </x:c>
      <x:c r="D301" s="9" t="str">
        <x:v>Enzymes and metabolism</x:v>
      </x:c>
      <x:c r="E301" s="9" t="str">
        <x:v>SL/HL</x:v>
      </x:c>
      <x:c r="F301" s="9" t="str">
        <x:v>Enzyme–substrate complex</x:v>
      </x:c>
      <x:c r="G301" s="9" t="str">
        <x:v>The temporary association formed when a substrate is bound in an enzyme’s active site.</x:v>
      </x:c>
      <x:c r="H301" s="9" t="str">
        <x:v>OpenStax Biology 2e, 6.5 Enzymes</x:v>
      </x:c>
      <x:c r="I301" s="9" t="str">
        <x:v>https://openstax.org/books/biology-2e/pages/6-5-enzymes</x:v>
      </x:c>
      <x:c r="J301" s="9" t="str">
        <x:v>Verified</x:v>
      </x:c>
    </x:row>
    <x:row r="302" ht="42" customHeight="1">
      <x:c r="A302" s="8" t="str">
        <x:v>C1.1-08</x:v>
      </x:c>
      <x:c r="B302" s="8" t="str">
        <x:v>C1.1</x:v>
      </x:c>
      <x:c r="C302" s="9" t="str">
        <x:v>Interaction and interdependence</x:v>
      </x:c>
      <x:c r="D302" s="9" t="str">
        <x:v>Enzymes and metabolism</x:v>
      </x:c>
      <x:c r="E302" s="9" t="str">
        <x:v>SL/HL</x:v>
      </x:c>
      <x:c r="F302" s="9" t="str">
        <x:v>Activation energy</x:v>
      </x:c>
      <x:c r="G302" s="9" t="str">
        <x:v>The minimum energy input needed for reactants to reach a transition state.</x:v>
      </x:c>
      <x:c r="H302" s="9" t="str">
        <x:v>OpenStax Biology 2e, 6.5 Enzymes</x:v>
      </x:c>
      <x:c r="I302" s="9" t="str">
        <x:v>https://openstax.org/books/biology-2e/pages/6-5-enzymes</x:v>
      </x:c>
      <x:c r="J302" s="9" t="str">
        <x:v>Verified</x:v>
      </x:c>
    </x:row>
    <x:row r="303" ht="42" customHeight="1">
      <x:c r="A303" s="8" t="str">
        <x:v>C1.1-09</x:v>
      </x:c>
      <x:c r="B303" s="8" t="str">
        <x:v>C1.1</x:v>
      </x:c>
      <x:c r="C303" s="9" t="str">
        <x:v>Interaction and interdependence</x:v>
      </x:c>
      <x:c r="D303" s="9" t="str">
        <x:v>Enzymes and metabolism</x:v>
      </x:c>
      <x:c r="E303" s="9" t="str">
        <x:v>SL/HL</x:v>
      </x:c>
      <x:c r="F303" s="9" t="str">
        <x:v>Induced-fit model</x:v>
      </x:c>
      <x:c r="G303" s="9" t="str">
        <x:v>The model in which substrate binding changes active-site shape to promote catalysis.</x:v>
      </x:c>
      <x:c r="H303" s="9" t="str">
        <x:v>OpenStax Biology 2e, 6.5 Enzymes</x:v>
      </x:c>
      <x:c r="I303" s="9" t="str">
        <x:v>https://openstax.org/books/biology-2e/pages/6-5-enzymes</x:v>
      </x:c>
      <x:c r="J303" s="9" t="str">
        <x:v>Verified</x:v>
      </x:c>
    </x:row>
    <x:row r="304" ht="42" customHeight="1">
      <x:c r="A304" s="8" t="str">
        <x:v>C1.1-10</x:v>
      </x:c>
      <x:c r="B304" s="8" t="str">
        <x:v>C1.1</x:v>
      </x:c>
      <x:c r="C304" s="9" t="str">
        <x:v>Interaction and interdependence</x:v>
      </x:c>
      <x:c r="D304" s="9" t="str">
        <x:v>Enzymes and metabolism</x:v>
      </x:c>
      <x:c r="E304" s="9" t="str">
        <x:v>SL/HL</x:v>
      </x:c>
      <x:c r="F304" s="9" t="str">
        <x:v>Enzyme specificity</x:v>
      </x:c>
      <x:c r="G304" s="9" t="str">
        <x:v>The selective recognition and catalysis of particular substrates or reactions by an enzyme.</x:v>
      </x:c>
      <x:c r="H304" s="9" t="str">
        <x:v>OpenStax Biology 2e, 6.5 Enzymes</x:v>
      </x:c>
      <x:c r="I304" s="9" t="str">
        <x:v>https://openstax.org/books/biology-2e/pages/6-5-enzymes</x:v>
      </x:c>
      <x:c r="J304" s="9" t="str">
        <x:v>Verified</x:v>
      </x:c>
    </x:row>
    <x:row r="305" ht="42" customHeight="1">
      <x:c r="A305" s="8" t="str">
        <x:v>C1.1-11</x:v>
      </x:c>
      <x:c r="B305" s="8" t="str">
        <x:v>C1.1</x:v>
      </x:c>
      <x:c r="C305" s="9" t="str">
        <x:v>Interaction and interdependence</x:v>
      </x:c>
      <x:c r="D305" s="9" t="str">
        <x:v>Enzymes and metabolism</x:v>
      </x:c>
      <x:c r="E305" s="9" t="str">
        <x:v>SL/HL</x:v>
      </x:c>
      <x:c r="F305" s="9" t="str">
        <x:v>Competitive inhibition</x:v>
      </x:c>
      <x:c r="G305" s="9" t="str">
        <x:v>Reduction of enzyme activity when an inhibitor competes with substrate for the active site.</x:v>
      </x:c>
      <x:c r="H305" s="9" t="str">
        <x:v>OpenStax Biology 2e, 6.5 Enzymes</x:v>
      </x:c>
      <x:c r="I305" s="9" t="str">
        <x:v>https://openstax.org/books/biology-2e/pages/6-5-enzymes</x:v>
      </x:c>
      <x:c r="J305" s="9" t="str">
        <x:v>Verified</x:v>
      </x:c>
    </x:row>
    <x:row r="306" ht="42" customHeight="1">
      <x:c r="A306" s="8" t="str">
        <x:v>C1.1-12</x:v>
      </x:c>
      <x:c r="B306" s="8" t="str">
        <x:v>C1.1</x:v>
      </x:c>
      <x:c r="C306" s="9" t="str">
        <x:v>Interaction and interdependence</x:v>
      </x:c>
      <x:c r="D306" s="9" t="str">
        <x:v>Enzymes and metabolism</x:v>
      </x:c>
      <x:c r="E306" s="9" t="str">
        <x:v>SL/HL</x:v>
      </x:c>
      <x:c r="F306" s="9" t="str">
        <x:v>Non-competitive inhibition</x:v>
      </x:c>
      <x:c r="G306" s="9" t="str">
        <x:v>Reduction of enzyme activity by inhibitor binding away from the active site, lowering catalytic capacity.</x:v>
      </x:c>
      <x:c r="H306" s="9" t="str">
        <x:v>OpenStax Biology 2e, 6.5 Enzymes</x:v>
      </x:c>
      <x:c r="I306" s="9" t="str">
        <x:v>https://openstax.org/books/biology-2e/pages/6-5-enzymes</x:v>
      </x:c>
      <x:c r="J306" s="9" t="str">
        <x:v>Verified</x:v>
      </x:c>
    </x:row>
    <x:row r="307" ht="42" customHeight="1">
      <x:c r="A307" s="8" t="str">
        <x:v>C1.1-13</x:v>
      </x:c>
      <x:c r="B307" s="8" t="str">
        <x:v>C1.1</x:v>
      </x:c>
      <x:c r="C307" s="9" t="str">
        <x:v>Interaction and interdependence</x:v>
      </x:c>
      <x:c r="D307" s="9" t="str">
        <x:v>Enzymes and metabolism</x:v>
      </x:c>
      <x:c r="E307" s="9" t="str">
        <x:v>SL/HL</x:v>
      </x:c>
      <x:c r="F307" s="9" t="str">
        <x:v>Allosteric site</x:v>
      </x:c>
      <x:c r="G307" s="9" t="str">
        <x:v>A regulatory binding site distinct from the active site that changes protein activity when occupied.</x:v>
      </x:c>
      <x:c r="H307" s="9" t="str">
        <x:v>OpenStax Biology 2e, 6.5 Enzymes</x:v>
      </x:c>
      <x:c r="I307" s="9" t="str">
        <x:v>https://openstax.org/books/biology-2e/pages/6-5-enzymes</x:v>
      </x:c>
      <x:c r="J307" s="9" t="str">
        <x:v>Verified</x:v>
      </x:c>
    </x:row>
    <x:row r="308" ht="42" customHeight="1">
      <x:c r="A308" s="8" t="str">
        <x:v>C1.1-14</x:v>
      </x:c>
      <x:c r="B308" s="8" t="str">
        <x:v>C1.1</x:v>
      </x:c>
      <x:c r="C308" s="9" t="str">
        <x:v>Interaction and interdependence</x:v>
      </x:c>
      <x:c r="D308" s="9" t="str">
        <x:v>Enzymes and metabolism</x:v>
      </x:c>
      <x:c r="E308" s="9" t="str">
        <x:v>SL/HL</x:v>
      </x:c>
      <x:c r="F308" s="9" t="str">
        <x:v>Cofactor</x:v>
      </x:c>
      <x:c r="G308" s="9" t="str">
        <x:v>A non-protein ion or molecule required for the activity of some enzymes.</x:v>
      </x:c>
      <x:c r="H308" s="9" t="str">
        <x:v>OpenStax Biology 2e, 6.5 Enzymes</x:v>
      </x:c>
      <x:c r="I308" s="9" t="str">
        <x:v>https://openstax.org/books/biology-2e/pages/6-5-enzymes</x:v>
      </x:c>
      <x:c r="J308" s="9" t="str">
        <x:v>Verified</x:v>
      </x:c>
    </x:row>
    <x:row r="309" ht="42" customHeight="1">
      <x:c r="A309" s="8" t="str">
        <x:v>C1.1-15</x:v>
      </x:c>
      <x:c r="B309" s="8" t="str">
        <x:v>C1.1</x:v>
      </x:c>
      <x:c r="C309" s="9" t="str">
        <x:v>Interaction and interdependence</x:v>
      </x:c>
      <x:c r="D309" s="9" t="str">
        <x:v>Enzymes and metabolism</x:v>
      </x:c>
      <x:c r="E309" s="9" t="str">
        <x:v>SL/HL</x:v>
      </x:c>
      <x:c r="F309" s="9" t="str">
        <x:v>Coenzyme</x:v>
      </x:c>
      <x:c r="G309" s="9" t="str">
        <x:v>An organic cofactor that transfers electrons, atoms, or functional groups during a reaction.</x:v>
      </x:c>
      <x:c r="H309" s="9" t="str">
        <x:v>OpenStax Biology 2e, 6.5 Enzymes</x:v>
      </x:c>
      <x:c r="I309" s="9" t="str">
        <x:v>https://openstax.org/books/biology-2e/pages/6-5-enzymes</x:v>
      </x:c>
      <x:c r="J309" s="9" t="str">
        <x:v>Verified</x:v>
      </x:c>
    </x:row>
    <x:row r="310" ht="42" customHeight="1">
      <x:c r="A310" s="8" t="str">
        <x:v>C1.1-16</x:v>
      </x:c>
      <x:c r="B310" s="8" t="str">
        <x:v>C1.1</x:v>
      </x:c>
      <x:c r="C310" s="9" t="str">
        <x:v>Interaction and interdependence</x:v>
      </x:c>
      <x:c r="D310" s="9" t="str">
        <x:v>Enzymes and metabolism</x:v>
      </x:c>
      <x:c r="E310" s="9" t="str">
        <x:v>SL/HL</x:v>
      </x:c>
      <x:c r="F310" s="9" t="str">
        <x:v>Feedback inhibition</x:v>
      </x:c>
      <x:c r="G310" s="9" t="str">
        <x:v>Control in which a pathway’s end product reduces activity of an earlier enzyme in that pathway.</x:v>
      </x:c>
      <x:c r="H310" s="9" t="str">
        <x:v>OpenStax Biology 2e, 6.5 Enzymes</x:v>
      </x:c>
      <x:c r="I310" s="9" t="str">
        <x:v>https://openstax.org/books/biology-2e/pages/6-5-enzymes</x:v>
      </x:c>
      <x:c r="J310" s="9" t="str">
        <x:v>Verified</x:v>
      </x:c>
    </x:row>
    <x:row r="311" ht="42" customHeight="1">
      <x:c r="A311" s="8" t="str">
        <x:v>C1.1-17</x:v>
      </x:c>
      <x:c r="B311" s="8" t="str">
        <x:v>C1.1</x:v>
      </x:c>
      <x:c r="C311" s="9" t="str">
        <x:v>Interaction and interdependence</x:v>
      </x:c>
      <x:c r="D311" s="9" t="str">
        <x:v>Enzymes and metabolism</x:v>
      </x:c>
      <x:c r="E311" s="9" t="str">
        <x:v>SL/HL</x:v>
      </x:c>
      <x:c r="F311" s="9" t="str">
        <x:v>Initial reaction rate</x:v>
      </x:c>
      <x:c r="G311" s="9" t="str">
        <x:v>The rate measured near the start of a reaction before major substrate depletion or product accumulation.</x:v>
      </x:c>
      <x:c r="H311" s="9" t="str">
        <x:v>OpenStax Biology 2e, 6.5 Enzymes</x:v>
      </x:c>
      <x:c r="I311" s="9" t="str">
        <x:v>https://openstax.org/books/biology-2e/pages/6-5-enzymes</x:v>
      </x:c>
      <x:c r="J311" s="9" t="str">
        <x:v>Verified</x:v>
      </x:c>
    </x:row>
    <x:row r="312" ht="42" customHeight="1">
      <x:c r="A312" s="8" t="str">
        <x:v>C1.2-01</x:v>
      </x:c>
      <x:c r="B312" s="8" t="str">
        <x:v>C1.2</x:v>
      </x:c>
      <x:c r="C312" s="9" t="str">
        <x:v>Interaction and interdependence</x:v>
      </x:c>
      <x:c r="D312" s="9" t="str">
        <x:v>Cell respiration</x:v>
      </x:c>
      <x:c r="E312" s="9" t="str">
        <x:v>SL/HL</x:v>
      </x:c>
      <x:c r="F312" s="9" t="str">
        <x:v>Cellular respiration</x:v>
      </x:c>
      <x:c r="G312" s="9" t="str">
        <x:v>A set of pathways that transfers energy from organic molecules to ATP through redox reactions.</x:v>
      </x:c>
      <x:c r="H312" s="9" t="str">
        <x:v>OpenStax Biology 2e, 7 Cellular Respiration</x:v>
      </x:c>
      <x:c r="I312" s="9" t="str">
        <x:v>https://openstax.org/books/biology-2e/pages/7-introduction</x:v>
      </x:c>
      <x:c r="J312" s="9" t="str">
        <x:v>Verified</x:v>
      </x:c>
    </x:row>
    <x:row r="313" ht="42" customHeight="1">
      <x:c r="A313" s="8" t="str">
        <x:v>C1.2-02</x:v>
      </x:c>
      <x:c r="B313" s="8" t="str">
        <x:v>C1.2</x:v>
      </x:c>
      <x:c r="C313" s="9" t="str">
        <x:v>Interaction and interdependence</x:v>
      </x:c>
      <x:c r="D313" s="9" t="str">
        <x:v>Cell respiration</x:v>
      </x:c>
      <x:c r="E313" s="9" t="str">
        <x:v>SL/HL</x:v>
      </x:c>
      <x:c r="F313" s="9" t="str">
        <x:v>Oxidation</x:v>
      </x:c>
      <x:c r="G313" s="9" t="str">
        <x:v>Loss of electrons by an atom, ion, or molecule.</x:v>
      </x:c>
      <x:c r="H313" s="9" t="str">
        <x:v>OpenStax Biology 2e, 7 Cellular Respiration</x:v>
      </x:c>
      <x:c r="I313" s="9" t="str">
        <x:v>https://openstax.org/books/biology-2e/pages/7-introduction</x:v>
      </x:c>
      <x:c r="J313" s="9" t="str">
        <x:v>Verified</x:v>
      </x:c>
    </x:row>
    <x:row r="314" ht="42" customHeight="1">
      <x:c r="A314" s="8" t="str">
        <x:v>C1.2-03</x:v>
      </x:c>
      <x:c r="B314" s="8" t="str">
        <x:v>C1.2</x:v>
      </x:c>
      <x:c r="C314" s="9" t="str">
        <x:v>Interaction and interdependence</x:v>
      </x:c>
      <x:c r="D314" s="9" t="str">
        <x:v>Cell respiration</x:v>
      </x:c>
      <x:c r="E314" s="9" t="str">
        <x:v>SL/HL</x:v>
      </x:c>
      <x:c r="F314" s="9" t="str">
        <x:v>Reduction</x:v>
      </x:c>
      <x:c r="G314" s="9" t="str">
        <x:v>Gain of electrons by an atom, ion, or molecule.</x:v>
      </x:c>
      <x:c r="H314" s="9" t="str">
        <x:v>OpenStax Biology 2e, 7 Cellular Respiration</x:v>
      </x:c>
      <x:c r="I314" s="9" t="str">
        <x:v>https://openstax.org/books/biology-2e/pages/7-introduction</x:v>
      </x:c>
      <x:c r="J314" s="9" t="str">
        <x:v>Verified</x:v>
      </x:c>
    </x:row>
    <x:row r="315" ht="42" customHeight="1">
      <x:c r="A315" s="8" t="str">
        <x:v>C1.2-04</x:v>
      </x:c>
      <x:c r="B315" s="8" t="str">
        <x:v>C1.2</x:v>
      </x:c>
      <x:c r="C315" s="9" t="str">
        <x:v>Interaction and interdependence</x:v>
      </x:c>
      <x:c r="D315" s="9" t="str">
        <x:v>Cell respiration</x:v>
      </x:c>
      <x:c r="E315" s="9" t="str">
        <x:v>SL/HL</x:v>
      </x:c>
      <x:c r="F315" s="9" t="str">
        <x:v>Redox reaction</x:v>
      </x:c>
      <x:c r="G315" s="9" t="str">
        <x:v>A coupled chemical process in which one reactant is oxidized and another is reduced.</x:v>
      </x:c>
      <x:c r="H315" s="9" t="str">
        <x:v>OpenStax Biology 2e, 7 Cellular Respiration</x:v>
      </x:c>
      <x:c r="I315" s="9" t="str">
        <x:v>https://openstax.org/books/biology-2e/pages/7-introduction</x:v>
      </x:c>
      <x:c r="J315" s="9" t="str">
        <x:v>Verified</x:v>
      </x:c>
    </x:row>
    <x:row r="316" ht="42" customHeight="1">
      <x:c r="A316" s="8" t="str">
        <x:v>C1.2-05</x:v>
      </x:c>
      <x:c r="B316" s="8" t="str">
        <x:v>C1.2</x:v>
      </x:c>
      <x:c r="C316" s="9" t="str">
        <x:v>Interaction and interdependence</x:v>
      </x:c>
      <x:c r="D316" s="9" t="str">
        <x:v>Cell respiration</x:v>
      </x:c>
      <x:c r="E316" s="9" t="str">
        <x:v>SL/HL</x:v>
      </x:c>
      <x:c r="F316" s="9" t="str">
        <x:v>NAD⁺</x:v>
      </x:c>
      <x:c r="G316" s="9" t="str">
        <x:v>An oxidized electron carrier that accepts two electrons and one proton to form NADH.</x:v>
      </x:c>
      <x:c r="H316" s="9" t="str">
        <x:v>OpenStax Biology 2e, 7 Cellular Respiration</x:v>
      </x:c>
      <x:c r="I316" s="9" t="str">
        <x:v>https://openstax.org/books/biology-2e/pages/7-introduction</x:v>
      </x:c>
      <x:c r="J316" s="9" t="str">
        <x:v>Verified</x:v>
      </x:c>
    </x:row>
    <x:row r="317" ht="42" customHeight="1">
      <x:c r="A317" s="8" t="str">
        <x:v>C1.2-06</x:v>
      </x:c>
      <x:c r="B317" s="8" t="str">
        <x:v>C1.2</x:v>
      </x:c>
      <x:c r="C317" s="9" t="str">
        <x:v>Interaction and interdependence</x:v>
      </x:c>
      <x:c r="D317" s="9" t="str">
        <x:v>Cell respiration</x:v>
      </x:c>
      <x:c r="E317" s="9" t="str">
        <x:v>SL/HL</x:v>
      </x:c>
      <x:c r="F317" s="9" t="str">
        <x:v>FAD</x:v>
      </x:c>
      <x:c r="G317" s="9" t="str">
        <x:v>An oxidized electron carrier that accepts two electrons and two protons to form FADH₂.</x:v>
      </x:c>
      <x:c r="H317" s="9" t="str">
        <x:v>OpenStax Biology 2e, 7 Cellular Respiration</x:v>
      </x:c>
      <x:c r="I317" s="9" t="str">
        <x:v>https://openstax.org/books/biology-2e/pages/7-introduction</x:v>
      </x:c>
      <x:c r="J317" s="9" t="str">
        <x:v>Verified</x:v>
      </x:c>
    </x:row>
    <x:row r="318" ht="42" customHeight="1">
      <x:c r="A318" s="8" t="str">
        <x:v>C1.2-07</x:v>
      </x:c>
      <x:c r="B318" s="8" t="str">
        <x:v>C1.2</x:v>
      </x:c>
      <x:c r="C318" s="9" t="str">
        <x:v>Interaction and interdependence</x:v>
      </x:c>
      <x:c r="D318" s="9" t="str">
        <x:v>Cell respiration</x:v>
      </x:c>
      <x:c r="E318" s="9" t="str">
        <x:v>SL/HL</x:v>
      </x:c>
      <x:c r="F318" s="9" t="str">
        <x:v>Glycolysis</x:v>
      </x:c>
      <x:c r="G318" s="9" t="str">
        <x:v>The cytosolic pathway that converts one glucose to two pyruvate, with a small net yield of ATP and NADH.</x:v>
      </x:c>
      <x:c r="H318" s="9" t="str">
        <x:v>OpenStax Biology 2e, 7 Cellular Respiration</x:v>
      </x:c>
      <x:c r="I318" s="9" t="str">
        <x:v>https://openstax.org/books/biology-2e/pages/7-introduction</x:v>
      </x:c>
      <x:c r="J318" s="9" t="str">
        <x:v>Verified</x:v>
      </x:c>
    </x:row>
    <x:row r="319" ht="42" customHeight="1">
      <x:c r="A319" s="8" t="str">
        <x:v>C1.2-08</x:v>
      </x:c>
      <x:c r="B319" s="8" t="str">
        <x:v>C1.2</x:v>
      </x:c>
      <x:c r="C319" s="9" t="str">
        <x:v>Interaction and interdependence</x:v>
      </x:c>
      <x:c r="D319" s="9" t="str">
        <x:v>Cell respiration</x:v>
      </x:c>
      <x:c r="E319" s="9" t="str">
        <x:v>SL/HL</x:v>
      </x:c>
      <x:c r="F319" s="9" t="str">
        <x:v>Pyruvate oxidation</x:v>
      </x:c>
      <x:c r="G319" s="9" t="str">
        <x:v>Conversion of pyruvate to acetyl-CoA, releasing carbon dioxide and reducing NAD⁺.</x:v>
      </x:c>
      <x:c r="H319" s="9" t="str">
        <x:v>OpenStax Biology 2e, 7 Cellular Respiration</x:v>
      </x:c>
      <x:c r="I319" s="9" t="str">
        <x:v>https://openstax.org/books/biology-2e/pages/7-introduction</x:v>
      </x:c>
      <x:c r="J319" s="9" t="str">
        <x:v>Verified</x:v>
      </x:c>
    </x:row>
    <x:row r="320" ht="42" customHeight="1">
      <x:c r="A320" s="8" t="str">
        <x:v>C1.2-09</x:v>
      </x:c>
      <x:c r="B320" s="8" t="str">
        <x:v>C1.2</x:v>
      </x:c>
      <x:c r="C320" s="9" t="str">
        <x:v>Interaction and interdependence</x:v>
      </x:c>
      <x:c r="D320" s="9" t="str">
        <x:v>Cell respiration</x:v>
      </x:c>
      <x:c r="E320" s="9" t="str">
        <x:v>SL/HL</x:v>
      </x:c>
      <x:c r="F320" s="9" t="str">
        <x:v>Citric acid cycle</x:v>
      </x:c>
      <x:c r="G320" s="9" t="str">
        <x:v>A cyclic mitochondrial pathway that oxidizes acetyl groups and produces carbon dioxide, reduced carriers, and ATP.</x:v>
      </x:c>
      <x:c r="H320" s="9" t="str">
        <x:v>OpenStax Biology 2e, 7 Cellular Respiration</x:v>
      </x:c>
      <x:c r="I320" s="9" t="str">
        <x:v>https://openstax.org/books/biology-2e/pages/7-introduction</x:v>
      </x:c>
      <x:c r="J320" s="9" t="str">
        <x:v>Verified</x:v>
      </x:c>
    </x:row>
    <x:row r="321" ht="42" customHeight="1">
      <x:c r="A321" s="8" t="str">
        <x:v>C1.2-10</x:v>
      </x:c>
      <x:c r="B321" s="8" t="str">
        <x:v>C1.2</x:v>
      </x:c>
      <x:c r="C321" s="9" t="str">
        <x:v>Interaction and interdependence</x:v>
      </x:c>
      <x:c r="D321" s="9" t="str">
        <x:v>Cell respiration</x:v>
      </x:c>
      <x:c r="E321" s="9" t="str">
        <x:v>SL/HL</x:v>
      </x:c>
      <x:c r="F321" s="9" t="str">
        <x:v>Substrate-level phosphorylation</x:v>
      </x:c>
      <x:c r="G321" s="9" t="str">
        <x:v>Direct formation of ATP by transferring a phosphate group from a phosphorylated substrate to ADP.</x:v>
      </x:c>
      <x:c r="H321" s="9" t="str">
        <x:v>OpenStax Biology 2e, 7 Cellular Respiration</x:v>
      </x:c>
      <x:c r="I321" s="9" t="str">
        <x:v>https://openstax.org/books/biology-2e/pages/7-introduction</x:v>
      </x:c>
      <x:c r="J321" s="9" t="str">
        <x:v>Verified</x:v>
      </x:c>
    </x:row>
    <x:row r="322" ht="42" customHeight="1">
      <x:c r="A322" s="8" t="str">
        <x:v>C1.2-11</x:v>
      </x:c>
      <x:c r="B322" s="8" t="str">
        <x:v>C1.2</x:v>
      </x:c>
      <x:c r="C322" s="9" t="str">
        <x:v>Interaction and interdependence</x:v>
      </x:c>
      <x:c r="D322" s="9" t="str">
        <x:v>Cell respiration</x:v>
      </x:c>
      <x:c r="E322" s="9" t="str">
        <x:v>SL/HL</x:v>
      </x:c>
      <x:c r="F322" s="9" t="str">
        <x:v>Oxidative phosphorylation</x:v>
      </x:c>
      <x:c r="G322" s="9" t="str">
        <x:v>ATP production powered by electron transport and a proton gradient across a membrane.</x:v>
      </x:c>
      <x:c r="H322" s="9" t="str">
        <x:v>OpenStax Biology 2e, 7 Cellular Respiration</x:v>
      </x:c>
      <x:c r="I322" s="9" t="str">
        <x:v>https://openstax.org/books/biology-2e/pages/7-introduction</x:v>
      </x:c>
      <x:c r="J322" s="9" t="str">
        <x:v>Verified</x:v>
      </x:c>
    </x:row>
    <x:row r="323" ht="42" customHeight="1">
      <x:c r="A323" s="8" t="str">
        <x:v>C1.2-12</x:v>
      </x:c>
      <x:c r="B323" s="8" t="str">
        <x:v>C1.2</x:v>
      </x:c>
      <x:c r="C323" s="9" t="str">
        <x:v>Interaction and interdependence</x:v>
      </x:c>
      <x:c r="D323" s="9" t="str">
        <x:v>Cell respiration</x:v>
      </x:c>
      <x:c r="E323" s="9" t="str">
        <x:v>SL/HL</x:v>
      </x:c>
      <x:c r="F323" s="9" t="str">
        <x:v>Electron transport chain</x:v>
      </x:c>
      <x:c r="G323" s="9" t="str">
        <x:v>A sequence of membrane carriers that transfers electrons through redox reactions and drives proton pumping.</x:v>
      </x:c>
      <x:c r="H323" s="9" t="str">
        <x:v>OpenStax Biology 2e, 7 Cellular Respiration</x:v>
      </x:c>
      <x:c r="I323" s="9" t="str">
        <x:v>https://openstax.org/books/biology-2e/pages/7-introduction</x:v>
      </x:c>
      <x:c r="J323" s="9" t="str">
        <x:v>Verified</x:v>
      </x:c>
    </x:row>
    <x:row r="324" ht="42" customHeight="1">
      <x:c r="A324" s="8" t="str">
        <x:v>C1.2-13</x:v>
      </x:c>
      <x:c r="B324" s="8" t="str">
        <x:v>C1.2</x:v>
      </x:c>
      <x:c r="C324" s="9" t="str">
        <x:v>Interaction and interdependence</x:v>
      </x:c>
      <x:c r="D324" s="9" t="str">
        <x:v>Cell respiration</x:v>
      </x:c>
      <x:c r="E324" s="9" t="str">
        <x:v>SL/HL</x:v>
      </x:c>
      <x:c r="F324" s="9" t="str">
        <x:v>Chemiosmosis</x:v>
      </x:c>
      <x:c r="G324" s="9" t="str">
        <x:v>Use of ion flow down an electrochemical gradient to power ATP synthesis.</x:v>
      </x:c>
      <x:c r="H324" s="9" t="str">
        <x:v>OpenStax Biology 2e, 7 Cellular Respiration</x:v>
      </x:c>
      <x:c r="I324" s="9" t="str">
        <x:v>https://openstax.org/books/biology-2e/pages/7-introduction</x:v>
      </x:c>
      <x:c r="J324" s="9" t="str">
        <x:v>Verified</x:v>
      </x:c>
    </x:row>
    <x:row r="325" ht="42" customHeight="1">
      <x:c r="A325" s="8" t="str">
        <x:v>C1.2-14</x:v>
      </x:c>
      <x:c r="B325" s="8" t="str">
        <x:v>C1.2</x:v>
      </x:c>
      <x:c r="C325" s="9" t="str">
        <x:v>Interaction and interdependence</x:v>
      </x:c>
      <x:c r="D325" s="9" t="str">
        <x:v>Cell respiration</x:v>
      </x:c>
      <x:c r="E325" s="9" t="str">
        <x:v>SL/HL</x:v>
      </x:c>
      <x:c r="F325" s="9" t="str">
        <x:v>Proton-motive force</x:v>
      </x:c>
      <x:c r="G325" s="9" t="str">
        <x:v>Stored energy created by combined proton concentration and electrical gradients across a membrane.</x:v>
      </x:c>
      <x:c r="H325" s="9" t="str">
        <x:v>OpenStax Biology 2e, 7 Cellular Respiration</x:v>
      </x:c>
      <x:c r="I325" s="9" t="str">
        <x:v>https://openstax.org/books/biology-2e/pages/7-introduction</x:v>
      </x:c>
      <x:c r="J325" s="9" t="str">
        <x:v>Verified</x:v>
      </x:c>
    </x:row>
    <x:row r="326" ht="42" customHeight="1">
      <x:c r="A326" s="8" t="str">
        <x:v>C1.2-15</x:v>
      </x:c>
      <x:c r="B326" s="8" t="str">
        <x:v>C1.2</x:v>
      </x:c>
      <x:c r="C326" s="9" t="str">
        <x:v>Interaction and interdependence</x:v>
      </x:c>
      <x:c r="D326" s="9" t="str">
        <x:v>Cell respiration</x:v>
      </x:c>
      <x:c r="E326" s="9" t="str">
        <x:v>SL/HL</x:v>
      </x:c>
      <x:c r="F326" s="9" t="str">
        <x:v>ATP synthase</x:v>
      </x:c>
      <x:c r="G326" s="9" t="str">
        <x:v>A membrane enzyme that uses proton flow to phosphorylate ADP and produce ATP.</x:v>
      </x:c>
      <x:c r="H326" s="9" t="str">
        <x:v>OpenStax Biology 2e, 7 Cellular Respiration</x:v>
      </x:c>
      <x:c r="I326" s="9" t="str">
        <x:v>https://openstax.org/books/biology-2e/pages/7-introduction</x:v>
      </x:c>
      <x:c r="J326" s="9" t="str">
        <x:v>Verified</x:v>
      </x:c>
    </x:row>
    <x:row r="327" ht="42" customHeight="1">
      <x:c r="A327" s="8" t="str">
        <x:v>C1.2-16</x:v>
      </x:c>
      <x:c r="B327" s="8" t="str">
        <x:v>C1.2</x:v>
      </x:c>
      <x:c r="C327" s="9" t="str">
        <x:v>Interaction and interdependence</x:v>
      </x:c>
      <x:c r="D327" s="9" t="str">
        <x:v>Cell respiration</x:v>
      </x:c>
      <x:c r="E327" s="9" t="str">
        <x:v>SL/HL</x:v>
      </x:c>
      <x:c r="F327" s="9" t="str">
        <x:v>Aerobic respiration</x:v>
      </x:c>
      <x:c r="G327" s="9" t="str">
        <x:v>Respiration using oxygen as the final electron acceptor in an electron transport chain.</x:v>
      </x:c>
      <x:c r="H327" s="9" t="str">
        <x:v>OpenStax Biology 2e, 7 Cellular Respiration</x:v>
      </x:c>
      <x:c r="I327" s="9" t="str">
        <x:v>https://openstax.org/books/biology-2e/pages/7-introduction</x:v>
      </x:c>
      <x:c r="J327" s="9" t="str">
        <x:v>Verified</x:v>
      </x:c>
    </x:row>
    <x:row r="328" ht="42" customHeight="1">
      <x:c r="A328" s="8" t="str">
        <x:v>C1.2-17</x:v>
      </x:c>
      <x:c r="B328" s="8" t="str">
        <x:v>C1.2</x:v>
      </x:c>
      <x:c r="C328" s="9" t="str">
        <x:v>Interaction and interdependence</x:v>
      </x:c>
      <x:c r="D328" s="9" t="str">
        <x:v>Cell respiration</x:v>
      </x:c>
      <x:c r="E328" s="9" t="str">
        <x:v>SL/HL</x:v>
      </x:c>
      <x:c r="F328" s="9" t="str">
        <x:v>Anaerobic respiration</x:v>
      </x:c>
      <x:c r="G328" s="9" t="str">
        <x:v>Respiration using a final electron acceptor other than oxygen in an electron transport chain.</x:v>
      </x:c>
      <x:c r="H328" s="9" t="str">
        <x:v>OpenStax Biology 2e, 7 Cellular Respiration</x:v>
      </x:c>
      <x:c r="I328" s="9" t="str">
        <x:v>https://openstax.org/books/biology-2e/pages/7-introduction</x:v>
      </x:c>
      <x:c r="J328" s="9" t="str">
        <x:v>Verified</x:v>
      </x:c>
    </x:row>
    <x:row r="329" ht="42" customHeight="1">
      <x:c r="A329" s="8" t="str">
        <x:v>C1.2-18</x:v>
      </x:c>
      <x:c r="B329" s="8" t="str">
        <x:v>C1.2</x:v>
      </x:c>
      <x:c r="C329" s="9" t="str">
        <x:v>Interaction and interdependence</x:v>
      </x:c>
      <x:c r="D329" s="9" t="str">
        <x:v>Cell respiration</x:v>
      </x:c>
      <x:c r="E329" s="9" t="str">
        <x:v>SL/HL</x:v>
      </x:c>
      <x:c r="F329" s="9" t="str">
        <x:v>Fermentation</x:v>
      </x:c>
      <x:c r="G329" s="9" t="str">
        <x:v>An anaerobic pathway that regenerates NAD⁺ by transferring electrons to an organic molecule without electron transport.</x:v>
      </x:c>
      <x:c r="H329" s="9" t="str">
        <x:v>OpenStax Biology 2e, 7 Cellular Respiration</x:v>
      </x:c>
      <x:c r="I329" s="9" t="str">
        <x:v>https://openstax.org/books/biology-2e/pages/7-introduction</x:v>
      </x:c>
      <x:c r="J329" s="9" t="str">
        <x:v>Verified</x:v>
      </x:c>
    </x:row>
    <x:row r="330" ht="42" customHeight="1">
      <x:c r="A330" s="8" t="str">
        <x:v>C1.2-19</x:v>
      </x:c>
      <x:c r="B330" s="8" t="str">
        <x:v>C1.2</x:v>
      </x:c>
      <x:c r="C330" s="9" t="str">
        <x:v>Interaction and interdependence</x:v>
      </x:c>
      <x:c r="D330" s="9" t="str">
        <x:v>Cell respiration</x:v>
      </x:c>
      <x:c r="E330" s="9" t="str">
        <x:v>SL/HL</x:v>
      </x:c>
      <x:c r="F330" s="9" t="str">
        <x:v>Lactate fermentation</x:v>
      </x:c>
      <x:c r="G330" s="9" t="str">
        <x:v>Regeneration of NAD⁺ by reducing pyruvate to lactate after glycolysis.</x:v>
      </x:c>
      <x:c r="H330" s="9" t="str">
        <x:v>OpenStax Biology 2e, 7 Cellular Respiration</x:v>
      </x:c>
      <x:c r="I330" s="9" t="str">
        <x:v>https://openstax.org/books/biology-2e/pages/7-introduction</x:v>
      </x:c>
      <x:c r="J330" s="9" t="str">
        <x:v>Verified</x:v>
      </x:c>
    </x:row>
    <x:row r="331" ht="42" customHeight="1">
      <x:c r="A331" s="8" t="str">
        <x:v>C1.2-20</x:v>
      </x:c>
      <x:c r="B331" s="8" t="str">
        <x:v>C1.2</x:v>
      </x:c>
      <x:c r="C331" s="9" t="str">
        <x:v>Interaction and interdependence</x:v>
      </x:c>
      <x:c r="D331" s="9" t="str">
        <x:v>Cell respiration</x:v>
      </x:c>
      <x:c r="E331" s="9" t="str">
        <x:v>SL/HL</x:v>
      </x:c>
      <x:c r="F331" s="9" t="str">
        <x:v>Respiratory quotient</x:v>
      </x:c>
      <x:c r="G331" s="9" t="str">
        <x:v>The ratio of carbon dioxide produced to oxygen consumed during respiration.</x:v>
      </x:c>
      <x:c r="H331" s="9" t="str">
        <x:v>OpenStax Biology 2e, 7 Cellular Respiration</x:v>
      </x:c>
      <x:c r="I331" s="9" t="str">
        <x:v>https://openstax.org/books/biology-2e/pages/7-introduction</x:v>
      </x:c>
      <x:c r="J331" s="9" t="str">
        <x:v>Verified</x:v>
      </x:c>
    </x:row>
    <x:row r="332" ht="42" customHeight="1">
      <x:c r="A332" s="8" t="str">
        <x:v>C1.3-01</x:v>
      </x:c>
      <x:c r="B332" s="8" t="str">
        <x:v>C1.3</x:v>
      </x:c>
      <x:c r="C332" s="9" t="str">
        <x:v>Interaction and interdependence</x:v>
      </x:c>
      <x:c r="D332" s="9" t="str">
        <x:v>Photosynthesis</x:v>
      </x:c>
      <x:c r="E332" s="9" t="str">
        <x:v>SL/HL</x:v>
      </x:c>
      <x:c r="F332" s="9" t="str">
        <x:v>Photosynthesis</x:v>
      </x:c>
      <x:c r="G332" s="9" t="str">
        <x:v>Conversion of light energy into chemical energy stored in organic compounds, using carbon dioxide as a carbon source.</x:v>
      </x:c>
      <x:c r="H332" s="9" t="str">
        <x:v>OpenStax Biology 2e, 8 Photosynthesis</x:v>
      </x:c>
      <x:c r="I332" s="9" t="str">
        <x:v>https://openstax.org/books/biology-2e/pages/8-introduction</x:v>
      </x:c>
      <x:c r="J332" s="9" t="str">
        <x:v>Verified</x:v>
      </x:c>
    </x:row>
    <x:row r="333" ht="42" customHeight="1">
      <x:c r="A333" s="8" t="str">
        <x:v>C1.3-02</x:v>
      </x:c>
      <x:c r="B333" s="8" t="str">
        <x:v>C1.3</x:v>
      </x:c>
      <x:c r="C333" s="9" t="str">
        <x:v>Interaction and interdependence</x:v>
      </x:c>
      <x:c r="D333" s="9" t="str">
        <x:v>Photosynthesis</x:v>
      </x:c>
      <x:c r="E333" s="9" t="str">
        <x:v>SL/HL</x:v>
      </x:c>
      <x:c r="F333" s="9" t="str">
        <x:v>Photosynthetic pigment</x:v>
      </x:c>
      <x:c r="G333" s="9" t="str">
        <x:v>A molecule that absorbs selected wavelengths of light and can transfer excitation energy.</x:v>
      </x:c>
      <x:c r="H333" s="9" t="str">
        <x:v>OpenStax Biology 2e, 8 Photosynthesis</x:v>
      </x:c>
      <x:c r="I333" s="9" t="str">
        <x:v>https://openstax.org/books/biology-2e/pages/8-introduction</x:v>
      </x:c>
      <x:c r="J333" s="9" t="str">
        <x:v>Verified</x:v>
      </x:c>
    </x:row>
    <x:row r="334" ht="42" customHeight="1">
      <x:c r="A334" s="8" t="str">
        <x:v>C1.3-03</x:v>
      </x:c>
      <x:c r="B334" s="8" t="str">
        <x:v>C1.3</x:v>
      </x:c>
      <x:c r="C334" s="9" t="str">
        <x:v>Interaction and interdependence</x:v>
      </x:c>
      <x:c r="D334" s="9" t="str">
        <x:v>Photosynthesis</x:v>
      </x:c>
      <x:c r="E334" s="9" t="str">
        <x:v>SL/HL</x:v>
      </x:c>
      <x:c r="F334" s="9" t="str">
        <x:v>Chlorophyll</x:v>
      </x:c>
      <x:c r="G334" s="9" t="str">
        <x:v>A green pigment whose excited electrons initiate light-dependent photosynthetic electron transfer.</x:v>
      </x:c>
      <x:c r="H334" s="9" t="str">
        <x:v>OpenStax Biology 2e, 8 Photosynthesis</x:v>
      </x:c>
      <x:c r="I334" s="9" t="str">
        <x:v>https://openstax.org/books/biology-2e/pages/8-introduction</x:v>
      </x:c>
      <x:c r="J334" s="9" t="str">
        <x:v>Verified</x:v>
      </x:c>
    </x:row>
    <x:row r="335" ht="42" customHeight="1">
      <x:c r="A335" s="8" t="str">
        <x:v>C1.3-04</x:v>
      </x:c>
      <x:c r="B335" s="8" t="str">
        <x:v>C1.3</x:v>
      </x:c>
      <x:c r="C335" s="9" t="str">
        <x:v>Interaction and interdependence</x:v>
      </x:c>
      <x:c r="D335" s="9" t="str">
        <x:v>Photosynthesis</x:v>
      </x:c>
      <x:c r="E335" s="9" t="str">
        <x:v>SL/HL</x:v>
      </x:c>
      <x:c r="F335" s="9" t="str">
        <x:v>Absorption spectrum</x:v>
      </x:c>
      <x:c r="G335" s="9" t="str">
        <x:v>A graph showing how strongly a pigment absorbs different wavelengths of light.</x:v>
      </x:c>
      <x:c r="H335" s="9" t="str">
        <x:v>OpenStax Biology 2e, 8 Photosynthesis</x:v>
      </x:c>
      <x:c r="I335" s="9" t="str">
        <x:v>https://openstax.org/books/biology-2e/pages/8-introduction</x:v>
      </x:c>
      <x:c r="J335" s="9" t="str">
        <x:v>Verified</x:v>
      </x:c>
    </x:row>
    <x:row r="336" ht="42" customHeight="1">
      <x:c r="A336" s="8" t="str">
        <x:v>C1.3-05</x:v>
      </x:c>
      <x:c r="B336" s="8" t="str">
        <x:v>C1.3</x:v>
      </x:c>
      <x:c r="C336" s="9" t="str">
        <x:v>Interaction and interdependence</x:v>
      </x:c>
      <x:c r="D336" s="9" t="str">
        <x:v>Photosynthesis</x:v>
      </x:c>
      <x:c r="E336" s="9" t="str">
        <x:v>SL/HL</x:v>
      </x:c>
      <x:c r="F336" s="9" t="str">
        <x:v>Action spectrum</x:v>
      </x:c>
      <x:c r="G336" s="9" t="str">
        <x:v>A graph showing the rate or effectiveness of a biological process at different light wavelengths.</x:v>
      </x:c>
      <x:c r="H336" s="9" t="str">
        <x:v>OpenStax Biology 2e, 8 Photosynthesis</x:v>
      </x:c>
      <x:c r="I336" s="9" t="str">
        <x:v>https://openstax.org/books/biology-2e/pages/8-introduction</x:v>
      </x:c>
      <x:c r="J336" s="9" t="str">
        <x:v>Verified</x:v>
      </x:c>
    </x:row>
    <x:row r="337" ht="42" customHeight="1">
      <x:c r="A337" s="8" t="str">
        <x:v>C1.3-06</x:v>
      </x:c>
      <x:c r="B337" s="8" t="str">
        <x:v>C1.3</x:v>
      </x:c>
      <x:c r="C337" s="9" t="str">
        <x:v>Interaction and interdependence</x:v>
      </x:c>
      <x:c r="D337" s="9" t="str">
        <x:v>Photosynthesis</x:v>
      </x:c>
      <x:c r="E337" s="9" t="str">
        <x:v>SL/HL</x:v>
      </x:c>
      <x:c r="F337" s="9" t="str">
        <x:v>Photosystem</x:v>
      </x:c>
      <x:c r="G337" s="9" t="str">
        <x:v>A thylakoid pigment–protein complex containing an antenna and a reaction center.</x:v>
      </x:c>
      <x:c r="H337" s="9" t="str">
        <x:v>OpenStax Biology 2e, 8 Photosynthesis</x:v>
      </x:c>
      <x:c r="I337" s="9" t="str">
        <x:v>https://openstax.org/books/biology-2e/pages/8-introduction</x:v>
      </x:c>
      <x:c r="J337" s="9" t="str">
        <x:v>Verified</x:v>
      </x:c>
    </x:row>
    <x:row r="338" ht="42" customHeight="1">
      <x:c r="A338" s="8" t="str">
        <x:v>C1.3-07</x:v>
      </x:c>
      <x:c r="B338" s="8" t="str">
        <x:v>C1.3</x:v>
      </x:c>
      <x:c r="C338" s="9" t="str">
        <x:v>Interaction and interdependence</x:v>
      </x:c>
      <x:c r="D338" s="9" t="str">
        <x:v>Photosynthesis</x:v>
      </x:c>
      <x:c r="E338" s="9" t="str">
        <x:v>SL/HL</x:v>
      </x:c>
      <x:c r="F338" s="9" t="str">
        <x:v>Antenna complex</x:v>
      </x:c>
      <x:c r="G338" s="9" t="str">
        <x:v>Pigments and proteins that capture light energy and pass excitation to a photosystem reaction center.</x:v>
      </x:c>
      <x:c r="H338" s="9" t="str">
        <x:v>OpenStax Biology 2e, 8 Photosynthesis</x:v>
      </x:c>
      <x:c r="I338" s="9" t="str">
        <x:v>https://openstax.org/books/biology-2e/pages/8-introduction</x:v>
      </x:c>
      <x:c r="J338" s="9" t="str">
        <x:v>Verified</x:v>
      </x:c>
    </x:row>
    <x:row r="339" ht="42" customHeight="1">
      <x:c r="A339" s="8" t="str">
        <x:v>C1.3-08</x:v>
      </x:c>
      <x:c r="B339" s="8" t="str">
        <x:v>C1.3</x:v>
      </x:c>
      <x:c r="C339" s="9" t="str">
        <x:v>Interaction and interdependence</x:v>
      </x:c>
      <x:c r="D339" s="9" t="str">
        <x:v>Photosynthesis</x:v>
      </x:c>
      <x:c r="E339" s="9" t="str">
        <x:v>SL/HL</x:v>
      </x:c>
      <x:c r="F339" s="9" t="str">
        <x:v>Reaction center</x:v>
      </x:c>
      <x:c r="G339" s="9" t="str">
        <x:v>The photosystem region where an excited chlorophyll transfers an electron to a primary acceptor.</x:v>
      </x:c>
      <x:c r="H339" s="9" t="str">
        <x:v>OpenStax Biology 2e, 8 Photosynthesis</x:v>
      </x:c>
      <x:c r="I339" s="9" t="str">
        <x:v>https://openstax.org/books/biology-2e/pages/8-introduction</x:v>
      </x:c>
      <x:c r="J339" s="9" t="str">
        <x:v>Verified</x:v>
      </x:c>
    </x:row>
    <x:row r="340" ht="42" customHeight="1">
      <x:c r="A340" s="8" t="str">
        <x:v>C1.3-09</x:v>
      </x:c>
      <x:c r="B340" s="8" t="str">
        <x:v>C1.3</x:v>
      </x:c>
      <x:c r="C340" s="9" t="str">
        <x:v>Interaction and interdependence</x:v>
      </x:c>
      <x:c r="D340" s="9" t="str">
        <x:v>Photosynthesis</x:v>
      </x:c>
      <x:c r="E340" s="9" t="str">
        <x:v>SL/HL</x:v>
      </x:c>
      <x:c r="F340" s="9" t="str">
        <x:v>Photolysis</x:v>
      </x:c>
      <x:c r="G340" s="9" t="str">
        <x:v>Light-driven splitting of water that supplies electrons and releases protons and oxygen.</x:v>
      </x:c>
      <x:c r="H340" s="9" t="str">
        <x:v>OpenStax Biology 2e, 8 Photosynthesis</x:v>
      </x:c>
      <x:c r="I340" s="9" t="str">
        <x:v>https://openstax.org/books/biology-2e/pages/8-introduction</x:v>
      </x:c>
      <x:c r="J340" s="9" t="str">
        <x:v>Verified</x:v>
      </x:c>
    </x:row>
    <x:row r="341" ht="42" customHeight="1">
      <x:c r="A341" s="8" t="str">
        <x:v>C1.3-10</x:v>
      </x:c>
      <x:c r="B341" s="8" t="str">
        <x:v>C1.3</x:v>
      </x:c>
      <x:c r="C341" s="9" t="str">
        <x:v>Interaction and interdependence</x:v>
      </x:c>
      <x:c r="D341" s="9" t="str">
        <x:v>Photosynthesis</x:v>
      </x:c>
      <x:c r="E341" s="9" t="str">
        <x:v>SL/HL</x:v>
      </x:c>
      <x:c r="F341" s="9" t="str">
        <x:v>Light-dependent reactions</x:v>
      </x:c>
      <x:c r="G341" s="9" t="str">
        <x:v>Thylakoid reactions that use light to produce ATP and reduced NADP while releasing oxygen.</x:v>
      </x:c>
      <x:c r="H341" s="9" t="str">
        <x:v>OpenStax Biology 2e, 8 Photosynthesis</x:v>
      </x:c>
      <x:c r="I341" s="9" t="str">
        <x:v>https://openstax.org/books/biology-2e/pages/8-introduction</x:v>
      </x:c>
      <x:c r="J341" s="9" t="str">
        <x:v>Verified</x:v>
      </x:c>
    </x:row>
    <x:row r="342" ht="42" customHeight="1">
      <x:c r="A342" s="8" t="str">
        <x:v>C1.3-11</x:v>
      </x:c>
      <x:c r="B342" s="8" t="str">
        <x:v>C1.3</x:v>
      </x:c>
      <x:c r="C342" s="9" t="str">
        <x:v>Interaction and interdependence</x:v>
      </x:c>
      <x:c r="D342" s="9" t="str">
        <x:v>Photosynthesis</x:v>
      </x:c>
      <x:c r="E342" s="9" t="str">
        <x:v>SL/HL</x:v>
      </x:c>
      <x:c r="F342" s="9" t="str">
        <x:v>Photophosphorylation</x:v>
      </x:c>
      <x:c r="G342" s="9" t="str">
        <x:v>Formation of ATP using a proton gradient generated by light-driven electron transport.</x:v>
      </x:c>
      <x:c r="H342" s="9" t="str">
        <x:v>OpenStax Biology 2e, 8 Photosynthesis</x:v>
      </x:c>
      <x:c r="I342" s="9" t="str">
        <x:v>https://openstax.org/books/biology-2e/pages/8-introduction</x:v>
      </x:c>
      <x:c r="J342" s="9" t="str">
        <x:v>Verified</x:v>
      </x:c>
    </x:row>
    <x:row r="343" ht="42" customHeight="1">
      <x:c r="A343" s="8" t="str">
        <x:v>C1.3-12</x:v>
      </x:c>
      <x:c r="B343" s="8" t="str">
        <x:v>C1.3</x:v>
      </x:c>
      <x:c r="C343" s="9" t="str">
        <x:v>Interaction and interdependence</x:v>
      </x:c>
      <x:c r="D343" s="9" t="str">
        <x:v>Photosynthesis</x:v>
      </x:c>
      <x:c r="E343" s="9" t="str">
        <x:v>SL/HL</x:v>
      </x:c>
      <x:c r="F343" s="9" t="str">
        <x:v>Calvin cycle</x:v>
      </x:c>
      <x:c r="G343" s="9" t="str">
        <x:v>A cyclic set of stroma reactions that fixes carbon dioxide and produces carbohydrate precursors.</x:v>
      </x:c>
      <x:c r="H343" s="9" t="str">
        <x:v>OpenStax Biology 2e, 8 Photosynthesis</x:v>
      </x:c>
      <x:c r="I343" s="9" t="str">
        <x:v>https://openstax.org/books/biology-2e/pages/8-introduction</x:v>
      </x:c>
      <x:c r="J343" s="9" t="str">
        <x:v>Verified</x:v>
      </x:c>
    </x:row>
    <x:row r="344" ht="42" customHeight="1">
      <x:c r="A344" s="8" t="str">
        <x:v>C1.3-13</x:v>
      </x:c>
      <x:c r="B344" s="8" t="str">
        <x:v>C1.3</x:v>
      </x:c>
      <x:c r="C344" s="9" t="str">
        <x:v>Interaction and interdependence</x:v>
      </x:c>
      <x:c r="D344" s="9" t="str">
        <x:v>Photosynthesis</x:v>
      </x:c>
      <x:c r="E344" s="9" t="str">
        <x:v>SL/HL</x:v>
      </x:c>
      <x:c r="F344" s="9" t="str">
        <x:v>Carbon fixation</x:v>
      </x:c>
      <x:c r="G344" s="9" t="str">
        <x:v>Incorporation of inorganic carbon dioxide into an organic molecule.</x:v>
      </x:c>
      <x:c r="H344" s="9" t="str">
        <x:v>OpenStax Biology 2e, 8 Photosynthesis</x:v>
      </x:c>
      <x:c r="I344" s="9" t="str">
        <x:v>https://openstax.org/books/biology-2e/pages/8-introduction</x:v>
      </x:c>
      <x:c r="J344" s="9" t="str">
        <x:v>Verified</x:v>
      </x:c>
    </x:row>
    <x:row r="345" ht="42" customHeight="1">
      <x:c r="A345" s="8" t="str">
        <x:v>C1.3-14</x:v>
      </x:c>
      <x:c r="B345" s="8" t="str">
        <x:v>C1.3</x:v>
      </x:c>
      <x:c r="C345" s="9" t="str">
        <x:v>Interaction and interdependence</x:v>
      </x:c>
      <x:c r="D345" s="9" t="str">
        <x:v>Photosynthesis</x:v>
      </x:c>
      <x:c r="E345" s="9" t="str">
        <x:v>SL/HL</x:v>
      </x:c>
      <x:c r="F345" s="9" t="str">
        <x:v>Ribulose bisphosphate (RuBP)</x:v>
      </x:c>
      <x:c r="G345" s="9" t="str">
        <x:v>The five-carbon carbon-dioxide acceptor regenerated during the Calvin cycle.</x:v>
      </x:c>
      <x:c r="H345" s="9" t="str">
        <x:v>OpenStax Biology 2e, 8 Photosynthesis</x:v>
      </x:c>
      <x:c r="I345" s="9" t="str">
        <x:v>https://openstax.org/books/biology-2e/pages/8-introduction</x:v>
      </x:c>
      <x:c r="J345" s="9" t="str">
        <x:v>Verified</x:v>
      </x:c>
    </x:row>
    <x:row r="346" ht="42" customHeight="1">
      <x:c r="A346" s="8" t="str">
        <x:v>C1.3-15</x:v>
      </x:c>
      <x:c r="B346" s="8" t="str">
        <x:v>C1.3</x:v>
      </x:c>
      <x:c r="C346" s="9" t="str">
        <x:v>Interaction and interdependence</x:v>
      </x:c>
      <x:c r="D346" s="9" t="str">
        <x:v>Photosynthesis</x:v>
      </x:c>
      <x:c r="E346" s="9" t="str">
        <x:v>SL/HL</x:v>
      </x:c>
      <x:c r="F346" s="9" t="str">
        <x:v>Rubisco</x:v>
      </x:c>
      <x:c r="G346" s="9" t="str">
        <x:v>The enzyme that catalyzes carbon dioxide addition to RuBP and can also react with oxygen.</x:v>
      </x:c>
      <x:c r="H346" s="9" t="str">
        <x:v>OpenStax Biology 2e, 8 Photosynthesis</x:v>
      </x:c>
      <x:c r="I346" s="9" t="str">
        <x:v>https://openstax.org/books/biology-2e/pages/8-introduction</x:v>
      </x:c>
      <x:c r="J346" s="9" t="str">
        <x:v>Verified</x:v>
      </x:c>
    </x:row>
    <x:row r="347" ht="42" customHeight="1">
      <x:c r="A347" s="8" t="str">
        <x:v>C1.3-16</x:v>
      </x:c>
      <x:c r="B347" s="8" t="str">
        <x:v>C1.3</x:v>
      </x:c>
      <x:c r="C347" s="9" t="str">
        <x:v>Interaction and interdependence</x:v>
      </x:c>
      <x:c r="D347" s="9" t="str">
        <x:v>Photosynthesis</x:v>
      </x:c>
      <x:c r="E347" s="9" t="str">
        <x:v>SL/HL</x:v>
      </x:c>
      <x:c r="F347" s="9" t="str">
        <x:v>Glycerate 3-phosphate (GP)</x:v>
      </x:c>
      <x:c r="G347" s="9" t="str">
        <x:v>The three-carbon product formed immediately after carbon dioxide fixation in the Calvin cycle.</x:v>
      </x:c>
      <x:c r="H347" s="9" t="str">
        <x:v>OpenStax Biology 2e, 8 Photosynthesis</x:v>
      </x:c>
      <x:c r="I347" s="9" t="str">
        <x:v>https://openstax.org/books/biology-2e/pages/8-introduction</x:v>
      </x:c>
      <x:c r="J347" s="9" t="str">
        <x:v>Verified</x:v>
      </x:c>
    </x:row>
    <x:row r="348" ht="42" customHeight="1">
      <x:c r="A348" s="8" t="str">
        <x:v>C1.3-17</x:v>
      </x:c>
      <x:c r="B348" s="8" t="str">
        <x:v>C1.3</x:v>
      </x:c>
      <x:c r="C348" s="9" t="str">
        <x:v>Interaction and interdependence</x:v>
      </x:c>
      <x:c r="D348" s="9" t="str">
        <x:v>Photosynthesis</x:v>
      </x:c>
      <x:c r="E348" s="9" t="str">
        <x:v>SL/HL</x:v>
      </x:c>
      <x:c r="F348" s="9" t="str">
        <x:v>Triose phosphate</x:v>
      </x:c>
      <x:c r="G348" s="9" t="str">
        <x:v>A three-carbon sugar phosphate produced by Calvin-cycle reduction and used to build carbohydrates.</x:v>
      </x:c>
      <x:c r="H348" s="9" t="str">
        <x:v>OpenStax Biology 2e, 8 Photosynthesis</x:v>
      </x:c>
      <x:c r="I348" s="9" t="str">
        <x:v>https://openstax.org/books/biology-2e/pages/8-introduction</x:v>
      </x:c>
      <x:c r="J348" s="9" t="str">
        <x:v>Verified</x:v>
      </x:c>
    </x:row>
    <x:row r="349" ht="42" customHeight="1">
      <x:c r="A349" s="8" t="str">
        <x:v>C1.3-18</x:v>
      </x:c>
      <x:c r="B349" s="8" t="str">
        <x:v>C1.3</x:v>
      </x:c>
      <x:c r="C349" s="9" t="str">
        <x:v>Interaction and interdependence</x:v>
      </x:c>
      <x:c r="D349" s="9" t="str">
        <x:v>Photosynthesis</x:v>
      </x:c>
      <x:c r="E349" s="9" t="str">
        <x:v>SL/HL</x:v>
      </x:c>
      <x:c r="F349" s="9" t="str">
        <x:v>Photosynthetic limiting factor</x:v>
      </x:c>
      <x:c r="G349" s="9" t="str">
        <x:v>An environmental variable that restricts photosynthetic rate when it is furthest from its optimum.</x:v>
      </x:c>
      <x:c r="H349" s="9" t="str">
        <x:v>OpenStax Biology 2e, 8 Photosynthesis</x:v>
      </x:c>
      <x:c r="I349" s="9" t="str">
        <x:v>https://openstax.org/books/biology-2e/pages/8-introduction</x:v>
      </x:c>
      <x:c r="J349" s="9" t="str">
        <x:v>Verified</x:v>
      </x:c>
    </x:row>
    <x:row r="350" ht="42" customHeight="1">
      <x:c r="A350" s="8" t="str">
        <x:v>C2.1-01</x:v>
      </x:c>
      <x:c r="B350" s="8" t="str">
        <x:v>C2.1</x:v>
      </x:c>
      <x:c r="C350" s="9" t="str">
        <x:v>Interaction and interdependence</x:v>
      </x:c>
      <x:c r="D350" s="9" t="str">
        <x:v>Chemical signalling</x:v>
      </x:c>
      <x:c r="E350" s="9" t="str">
        <x:v>HL</x:v>
      </x:c>
      <x:c r="F350" s="9" t="str">
        <x:v>Ligand</x:v>
      </x:c>
      <x:c r="G350" s="9" t="str">
        <x:v>A molecule that binds specifically to a receptor or other target protein.</x:v>
      </x:c>
      <x:c r="H350" s="9" t="str">
        <x:v>OpenStax Biology 2e, 9 Cell Communication</x:v>
      </x:c>
      <x:c r="I350" s="9" t="str">
        <x:v>https://openstax.org/books/biology-2e/pages/9-introduction</x:v>
      </x:c>
      <x:c r="J350" s="9" t="str">
        <x:v>Verified</x:v>
      </x:c>
    </x:row>
    <x:row r="351" ht="42" customHeight="1">
      <x:c r="A351" s="8" t="str">
        <x:v>C2.1-02</x:v>
      </x:c>
      <x:c r="B351" s="8" t="str">
        <x:v>C2.1</x:v>
      </x:c>
      <x:c r="C351" s="9" t="str">
        <x:v>Interaction and interdependence</x:v>
      </x:c>
      <x:c r="D351" s="9" t="str">
        <x:v>Chemical signalling</x:v>
      </x:c>
      <x:c r="E351" s="9" t="str">
        <x:v>HL</x:v>
      </x:c>
      <x:c r="F351" s="9" t="str">
        <x:v>Receptor</x:v>
      </x:c>
      <x:c r="G351" s="9" t="str">
        <x:v>A protein that binds a signal and initiates a cellular response.</x:v>
      </x:c>
      <x:c r="H351" s="9" t="str">
        <x:v>OpenStax Biology 2e, 9 Cell Communication</x:v>
      </x:c>
      <x:c r="I351" s="9" t="str">
        <x:v>https://openstax.org/books/biology-2e/pages/9-introduction</x:v>
      </x:c>
      <x:c r="J351" s="9" t="str">
        <x:v>Verified</x:v>
      </x:c>
    </x:row>
    <x:row r="352" ht="42" customHeight="1">
      <x:c r="A352" s="8" t="str">
        <x:v>C2.1-03</x:v>
      </x:c>
      <x:c r="B352" s="8" t="str">
        <x:v>C2.1</x:v>
      </x:c>
      <x:c r="C352" s="9" t="str">
        <x:v>Interaction and interdependence</x:v>
      </x:c>
      <x:c r="D352" s="9" t="str">
        <x:v>Chemical signalling</x:v>
      </x:c>
      <x:c r="E352" s="9" t="str">
        <x:v>HL</x:v>
      </x:c>
      <x:c r="F352" s="9" t="str">
        <x:v>Signal transduction</x:v>
      </x:c>
      <x:c r="G352" s="9" t="str">
        <x:v>Conversion of an external or internal signal into a sequence of cellular molecular events.</x:v>
      </x:c>
      <x:c r="H352" s="9" t="str">
        <x:v>OpenStax Biology 2e, 9 Cell Communication</x:v>
      </x:c>
      <x:c r="I352" s="9" t="str">
        <x:v>https://openstax.org/books/biology-2e/pages/9-introduction</x:v>
      </x:c>
      <x:c r="J352" s="9" t="str">
        <x:v>Verified</x:v>
      </x:c>
    </x:row>
    <x:row r="353" ht="42" customHeight="1">
      <x:c r="A353" s="8" t="str">
        <x:v>C2.1-04</x:v>
      </x:c>
      <x:c r="B353" s="8" t="str">
        <x:v>C2.1</x:v>
      </x:c>
      <x:c r="C353" s="9" t="str">
        <x:v>Interaction and interdependence</x:v>
      </x:c>
      <x:c r="D353" s="9" t="str">
        <x:v>Chemical signalling</x:v>
      </x:c>
      <x:c r="E353" s="9" t="str">
        <x:v>HL</x:v>
      </x:c>
      <x:c r="F353" s="9" t="str">
        <x:v>First messenger</x:v>
      </x:c>
      <x:c r="G353" s="9" t="str">
        <x:v>An extracellular signaling molecule that binds to a cell receptor.</x:v>
      </x:c>
      <x:c r="H353" s="9" t="str">
        <x:v>OpenStax Biology 2e, 9 Cell Communication</x:v>
      </x:c>
      <x:c r="I353" s="9" t="str">
        <x:v>https://openstax.org/books/biology-2e/pages/9-introduction</x:v>
      </x:c>
      <x:c r="J353" s="9" t="str">
        <x:v>Verified</x:v>
      </x:c>
    </x:row>
    <x:row r="354" ht="42" customHeight="1">
      <x:c r="A354" s="8" t="str">
        <x:v>C2.1-05</x:v>
      </x:c>
      <x:c r="B354" s="8" t="str">
        <x:v>C2.1</x:v>
      </x:c>
      <x:c r="C354" s="9" t="str">
        <x:v>Interaction and interdependence</x:v>
      </x:c>
      <x:c r="D354" s="9" t="str">
        <x:v>Chemical signalling</x:v>
      </x:c>
      <x:c r="E354" s="9" t="str">
        <x:v>HL</x:v>
      </x:c>
      <x:c r="F354" s="9" t="str">
        <x:v>Second messenger</x:v>
      </x:c>
      <x:c r="G354" s="9" t="str">
        <x:v>A small intracellular molecule or ion that relays and often amplifies a receptor signal.</x:v>
      </x:c>
      <x:c r="H354" s="9" t="str">
        <x:v>OpenStax Biology 2e, 9 Cell Communication</x:v>
      </x:c>
      <x:c r="I354" s="9" t="str">
        <x:v>https://openstax.org/books/biology-2e/pages/9-introduction</x:v>
      </x:c>
      <x:c r="J354" s="9" t="str">
        <x:v>Verified</x:v>
      </x:c>
    </x:row>
    <x:row r="355" ht="42" customHeight="1">
      <x:c r="A355" s="8" t="str">
        <x:v>C2.1-06</x:v>
      </x:c>
      <x:c r="B355" s="8" t="str">
        <x:v>C2.1</x:v>
      </x:c>
      <x:c r="C355" s="9" t="str">
        <x:v>Interaction and interdependence</x:v>
      </x:c>
      <x:c r="D355" s="9" t="str">
        <x:v>Chemical signalling</x:v>
      </x:c>
      <x:c r="E355" s="9" t="str">
        <x:v>HL</x:v>
      </x:c>
      <x:c r="F355" s="9" t="str">
        <x:v>Endocrine signalling</x:v>
      </x:c>
      <x:c r="G355" s="9" t="str">
        <x:v>Communication by hormones carried through body fluids to target cells at distant locations.</x:v>
      </x:c>
      <x:c r="H355" s="9" t="str">
        <x:v>OpenStax Biology 2e, 9 Cell Communication</x:v>
      </x:c>
      <x:c r="I355" s="9" t="str">
        <x:v>https://openstax.org/books/biology-2e/pages/9-introduction</x:v>
      </x:c>
      <x:c r="J355" s="9" t="str">
        <x:v>Verified</x:v>
      </x:c>
    </x:row>
    <x:row r="356" ht="42" customHeight="1">
      <x:c r="A356" s="8" t="str">
        <x:v>C2.1-07</x:v>
      </x:c>
      <x:c r="B356" s="8" t="str">
        <x:v>C2.1</x:v>
      </x:c>
      <x:c r="C356" s="9" t="str">
        <x:v>Interaction and interdependence</x:v>
      </x:c>
      <x:c r="D356" s="9" t="str">
        <x:v>Chemical signalling</x:v>
      </x:c>
      <x:c r="E356" s="9" t="str">
        <x:v>HL</x:v>
      </x:c>
      <x:c r="F356" s="9" t="str">
        <x:v>Paracrine signalling</x:v>
      </x:c>
      <x:c r="G356" s="9" t="str">
        <x:v>Local communication in which a secreted signal acts on nearby target cells.</x:v>
      </x:c>
      <x:c r="H356" s="9" t="str">
        <x:v>OpenStax Biology 2e, 9 Cell Communication</x:v>
      </x:c>
      <x:c r="I356" s="9" t="str">
        <x:v>https://openstax.org/books/biology-2e/pages/9-introduction</x:v>
      </x:c>
      <x:c r="J356" s="9" t="str">
        <x:v>Verified</x:v>
      </x:c>
    </x:row>
    <x:row r="357" ht="42" customHeight="1">
      <x:c r="A357" s="8" t="str">
        <x:v>C2.1-08</x:v>
      </x:c>
      <x:c r="B357" s="8" t="str">
        <x:v>C2.1</x:v>
      </x:c>
      <x:c r="C357" s="9" t="str">
        <x:v>Interaction and interdependence</x:v>
      </x:c>
      <x:c r="D357" s="9" t="str">
        <x:v>Chemical signalling</x:v>
      </x:c>
      <x:c r="E357" s="9" t="str">
        <x:v>HL</x:v>
      </x:c>
      <x:c r="F357" s="9" t="str">
        <x:v>Autocrine signalling</x:v>
      </x:c>
      <x:c r="G357" s="9" t="str">
        <x:v>Communication in which a cell responds to a signal that it releases itself.</x:v>
      </x:c>
      <x:c r="H357" s="9" t="str">
        <x:v>OpenStax Biology 2e, 9 Cell Communication</x:v>
      </x:c>
      <x:c r="I357" s="9" t="str">
        <x:v>https://openstax.org/books/biology-2e/pages/9-introduction</x:v>
      </x:c>
      <x:c r="J357" s="9" t="str">
        <x:v>Verified</x:v>
      </x:c>
    </x:row>
    <x:row r="358" ht="42" customHeight="1">
      <x:c r="A358" s="8" t="str">
        <x:v>C2.1-09</x:v>
      </x:c>
      <x:c r="B358" s="8" t="str">
        <x:v>C2.1</x:v>
      </x:c>
      <x:c r="C358" s="9" t="str">
        <x:v>Interaction and interdependence</x:v>
      </x:c>
      <x:c r="D358" s="9" t="str">
        <x:v>Chemical signalling</x:v>
      </x:c>
      <x:c r="E358" s="9" t="str">
        <x:v>HL</x:v>
      </x:c>
      <x:c r="F358" s="9" t="str">
        <x:v>Hormone</x:v>
      </x:c>
      <x:c r="G358" s="9" t="str">
        <x:v>A signaling molecule released into circulation that regulates specific target cells bearing its receptor.</x:v>
      </x:c>
      <x:c r="H358" s="9" t="str">
        <x:v>OpenStax Biology 2e, 9 Cell Communication</x:v>
      </x:c>
      <x:c r="I358" s="9" t="str">
        <x:v>https://openstax.org/books/biology-2e/pages/9-introduction</x:v>
      </x:c>
      <x:c r="J358" s="9" t="str">
        <x:v>Verified</x:v>
      </x:c>
    </x:row>
    <x:row r="359" ht="42" customHeight="1">
      <x:c r="A359" s="8" t="str">
        <x:v>C2.1-10</x:v>
      </x:c>
      <x:c r="B359" s="8" t="str">
        <x:v>C2.1</x:v>
      </x:c>
      <x:c r="C359" s="9" t="str">
        <x:v>Interaction and interdependence</x:v>
      </x:c>
      <x:c r="D359" s="9" t="str">
        <x:v>Chemical signalling</x:v>
      </x:c>
      <x:c r="E359" s="9" t="str">
        <x:v>HL</x:v>
      </x:c>
      <x:c r="F359" s="9" t="str">
        <x:v>Peptide hormone</x:v>
      </x:c>
      <x:c r="G359" s="9" t="str">
        <x:v>A water-soluble amino-acid polymer that usually signals through a receptor at the cell surface.</x:v>
      </x:c>
      <x:c r="H359" s="9" t="str">
        <x:v>OpenStax Biology 2e, 9 Cell Communication</x:v>
      </x:c>
      <x:c r="I359" s="9" t="str">
        <x:v>https://openstax.org/books/biology-2e/pages/9-introduction</x:v>
      </x:c>
      <x:c r="J359" s="9" t="str">
        <x:v>Verified</x:v>
      </x:c>
    </x:row>
    <x:row r="360" ht="42" customHeight="1">
      <x:c r="A360" s="8" t="str">
        <x:v>C2.1-11</x:v>
      </x:c>
      <x:c r="B360" s="8" t="str">
        <x:v>C2.1</x:v>
      </x:c>
      <x:c r="C360" s="9" t="str">
        <x:v>Interaction and interdependence</x:v>
      </x:c>
      <x:c r="D360" s="9" t="str">
        <x:v>Chemical signalling</x:v>
      </x:c>
      <x:c r="E360" s="9" t="str">
        <x:v>HL</x:v>
      </x:c>
      <x:c r="F360" s="9" t="str">
        <x:v>Steroid hormone</x:v>
      </x:c>
      <x:c r="G360" s="9" t="str">
        <x:v>A cholesterol-derived lipid signal that commonly crosses membranes and binds an intracellular receptor.</x:v>
      </x:c>
      <x:c r="H360" s="9" t="str">
        <x:v>OpenStax Biology 2e, 9 Cell Communication</x:v>
      </x:c>
      <x:c r="I360" s="9" t="str">
        <x:v>https://openstax.org/books/biology-2e/pages/9-introduction</x:v>
      </x:c>
      <x:c r="J360" s="9" t="str">
        <x:v>Verified</x:v>
      </x:c>
    </x:row>
    <x:row r="361" ht="42" customHeight="1">
      <x:c r="A361" s="8" t="str">
        <x:v>C2.1-12</x:v>
      </x:c>
      <x:c r="B361" s="8" t="str">
        <x:v>C2.1</x:v>
      </x:c>
      <x:c r="C361" s="9" t="str">
        <x:v>Interaction and interdependence</x:v>
      </x:c>
      <x:c r="D361" s="9" t="str">
        <x:v>Chemical signalling</x:v>
      </x:c>
      <x:c r="E361" s="9" t="str">
        <x:v>HL</x:v>
      </x:c>
      <x:c r="F361" s="9" t="str">
        <x:v>G protein-coupled receptor</x:v>
      </x:c>
      <x:c r="G361" s="9" t="str">
        <x:v>A seven-pass membrane receptor that activates a guanine-nucleotide-binding protein after ligand binding.</x:v>
      </x:c>
      <x:c r="H361" s="9" t="str">
        <x:v>OpenStax Biology 2e, 9 Cell Communication</x:v>
      </x:c>
      <x:c r="I361" s="9" t="str">
        <x:v>https://openstax.org/books/biology-2e/pages/9-introduction</x:v>
      </x:c>
      <x:c r="J361" s="9" t="str">
        <x:v>Verified</x:v>
      </x:c>
    </x:row>
    <x:row r="362" ht="42" customHeight="1">
      <x:c r="A362" s="8" t="str">
        <x:v>C2.1-13</x:v>
      </x:c>
      <x:c r="B362" s="8" t="str">
        <x:v>C2.1</x:v>
      </x:c>
      <x:c r="C362" s="9" t="str">
        <x:v>Interaction and interdependence</x:v>
      </x:c>
      <x:c r="D362" s="9" t="str">
        <x:v>Chemical signalling</x:v>
      </x:c>
      <x:c r="E362" s="9" t="str">
        <x:v>HL</x:v>
      </x:c>
      <x:c r="F362" s="9" t="str">
        <x:v>Receptor tyrosine kinase</x:v>
      </x:c>
      <x:c r="G362" s="9" t="str">
        <x:v>A membrane receptor that activates kinase domains and phosphorylates tyrosines after ligand-induced association.</x:v>
      </x:c>
      <x:c r="H362" s="9" t="str">
        <x:v>OpenStax Biology 2e, 9 Cell Communication</x:v>
      </x:c>
      <x:c r="I362" s="9" t="str">
        <x:v>https://openstax.org/books/biology-2e/pages/9-introduction</x:v>
      </x:c>
      <x:c r="J362" s="9" t="str">
        <x:v>Verified</x:v>
      </x:c>
    </x:row>
    <x:row r="363" ht="42" customHeight="1">
      <x:c r="A363" s="8" t="str">
        <x:v>C2.1-14</x:v>
      </x:c>
      <x:c r="B363" s="8" t="str">
        <x:v>C2.1</x:v>
      </x:c>
      <x:c r="C363" s="9" t="str">
        <x:v>Interaction and interdependence</x:v>
      </x:c>
      <x:c r="D363" s="9" t="str">
        <x:v>Chemical signalling</x:v>
      </x:c>
      <x:c r="E363" s="9" t="str">
        <x:v>HL</x:v>
      </x:c>
      <x:c r="F363" s="9" t="str">
        <x:v>Protein kinase</x:v>
      </x:c>
      <x:c r="G363" s="9" t="str">
        <x:v>An enzyme that transfers a phosphate group from ATP to a target protein.</x:v>
      </x:c>
      <x:c r="H363" s="9" t="str">
        <x:v>OpenStax Biology 2e, 9 Cell Communication</x:v>
      </x:c>
      <x:c r="I363" s="9" t="str">
        <x:v>https://openstax.org/books/biology-2e/pages/9-introduction</x:v>
      </x:c>
      <x:c r="J363" s="9" t="str">
        <x:v>Verified</x:v>
      </x:c>
    </x:row>
    <x:row r="364" ht="42" customHeight="1">
      <x:c r="A364" s="8" t="str">
        <x:v>C2.1-15</x:v>
      </x:c>
      <x:c r="B364" s="8" t="str">
        <x:v>C2.1</x:v>
      </x:c>
      <x:c r="C364" s="9" t="str">
        <x:v>Interaction and interdependence</x:v>
      </x:c>
      <x:c r="D364" s="9" t="str">
        <x:v>Chemical signalling</x:v>
      </x:c>
      <x:c r="E364" s="9" t="str">
        <x:v>HL</x:v>
      </x:c>
      <x:c r="F364" s="9" t="str">
        <x:v>Phosphorylation cascade</x:v>
      </x:c>
      <x:c r="G364" s="9" t="str">
        <x:v>A sequence in which activated protein kinases phosphorylate downstream targets, relaying and amplifying a signal.</x:v>
      </x:c>
      <x:c r="H364" s="9" t="str">
        <x:v>OpenStax Biology 2e, 9 Cell Communication</x:v>
      </x:c>
      <x:c r="I364" s="9" t="str">
        <x:v>https://openstax.org/books/biology-2e/pages/9-introduction</x:v>
      </x:c>
      <x:c r="J364" s="9" t="str">
        <x:v>Verified</x:v>
      </x:c>
    </x:row>
    <x:row r="365" ht="42" customHeight="1">
      <x:c r="A365" s="8" t="str">
        <x:v>C2.1-16</x:v>
      </x:c>
      <x:c r="B365" s="8" t="str">
        <x:v>C2.1</x:v>
      </x:c>
      <x:c r="C365" s="9" t="str">
        <x:v>Interaction and interdependence</x:v>
      </x:c>
      <x:c r="D365" s="9" t="str">
        <x:v>Chemical signalling</x:v>
      </x:c>
      <x:c r="E365" s="9" t="str">
        <x:v>HL</x:v>
      </x:c>
      <x:c r="F365" s="9" t="str">
        <x:v>Signal amplification</x:v>
      </x:c>
      <x:c r="G365" s="9" t="str">
        <x:v>Increase in response strength when one activated component generates many active downstream molecules.</x:v>
      </x:c>
      <x:c r="H365" s="9" t="str">
        <x:v>OpenStax Biology 2e, 9 Cell Communication</x:v>
      </x:c>
      <x:c r="I365" s="9" t="str">
        <x:v>https://openstax.org/books/biology-2e/pages/9-introduction</x:v>
      </x:c>
      <x:c r="J365" s="9" t="str">
        <x:v>Verified</x:v>
      </x:c>
    </x:row>
    <x:row r="366" ht="42" customHeight="1">
      <x:c r="A366" s="8" t="str">
        <x:v>C2.2-01</x:v>
      </x:c>
      <x:c r="B366" s="8" t="str">
        <x:v>C2.2</x:v>
      </x:c>
      <x:c r="C366" s="9" t="str">
        <x:v>Interaction and interdependence</x:v>
      </x:c>
      <x:c r="D366" s="9" t="str">
        <x:v>Neural signalling</x:v>
      </x:c>
      <x:c r="E366" s="9" t="str">
        <x:v>SL/HL</x:v>
      </x:c>
      <x:c r="F366" s="9" t="str">
        <x:v>Membrane potential</x:v>
      </x:c>
      <x:c r="G366" s="9" t="str">
        <x:v>The electrical potential difference across a cell membrane caused by unequal ion distributions.</x:v>
      </x:c>
      <x:c r="H366" s="9" t="str">
        <x:v>OpenStax Biology 2e, 35.2 How Neurons Communicate</x:v>
      </x:c>
      <x:c r="I366" s="9" t="str">
        <x:v>https://openstax.org/books/biology-2e/pages/35-2-how-neurons-communicate</x:v>
      </x:c>
      <x:c r="J366" s="9" t="str">
        <x:v>Verified</x:v>
      </x:c>
    </x:row>
    <x:row r="367" ht="42" customHeight="1">
      <x:c r="A367" s="8" t="str">
        <x:v>C2.2-02</x:v>
      </x:c>
      <x:c r="B367" s="8" t="str">
        <x:v>C2.2</x:v>
      </x:c>
      <x:c r="C367" s="9" t="str">
        <x:v>Interaction and interdependence</x:v>
      </x:c>
      <x:c r="D367" s="9" t="str">
        <x:v>Neural signalling</x:v>
      </x:c>
      <x:c r="E367" s="9" t="str">
        <x:v>SL/HL</x:v>
      </x:c>
      <x:c r="F367" s="9" t="str">
        <x:v>Resting potential</x:v>
      </x:c>
      <x:c r="G367" s="9" t="str">
        <x:v>The stable negative membrane voltage of an unstimulated excitable cell.</x:v>
      </x:c>
      <x:c r="H367" s="9" t="str">
        <x:v>OpenStax Biology 2e, 35.2 How Neurons Communicate</x:v>
      </x:c>
      <x:c r="I367" s="9" t="str">
        <x:v>https://openstax.org/books/biology-2e/pages/35-2-how-neurons-communicate</x:v>
      </x:c>
      <x:c r="J367" s="9" t="str">
        <x:v>Verified</x:v>
      </x:c>
    </x:row>
    <x:row r="368" ht="42" customHeight="1">
      <x:c r="A368" s="8" t="str">
        <x:v>C2.2-03</x:v>
      </x:c>
      <x:c r="B368" s="8" t="str">
        <x:v>C2.2</x:v>
      </x:c>
      <x:c r="C368" s="9" t="str">
        <x:v>Interaction and interdependence</x:v>
      </x:c>
      <x:c r="D368" s="9" t="str">
        <x:v>Neural signalling</x:v>
      </x:c>
      <x:c r="E368" s="9" t="str">
        <x:v>SL/HL</x:v>
      </x:c>
      <x:c r="F368" s="9" t="str">
        <x:v>Sodium–potassium pump</x:v>
      </x:c>
      <x:c r="G368" s="9" t="str">
        <x:v>An ATP-driven transporter that moves three sodium ions out and two potassium ions into a cell.</x:v>
      </x:c>
      <x:c r="H368" s="9" t="str">
        <x:v>OpenStax Biology 2e, 35.2 How Neurons Communicate</x:v>
      </x:c>
      <x:c r="I368" s="9" t="str">
        <x:v>https://openstax.org/books/biology-2e/pages/35-2-how-neurons-communicate</x:v>
      </x:c>
      <x:c r="J368" s="9" t="str">
        <x:v>Verified</x:v>
      </x:c>
    </x:row>
    <x:row r="369" ht="42" customHeight="1">
      <x:c r="A369" s="8" t="str">
        <x:v>C2.2-04</x:v>
      </x:c>
      <x:c r="B369" s="8" t="str">
        <x:v>C2.2</x:v>
      </x:c>
      <x:c r="C369" s="9" t="str">
        <x:v>Interaction and interdependence</x:v>
      </x:c>
      <x:c r="D369" s="9" t="str">
        <x:v>Neural signalling</x:v>
      </x:c>
      <x:c r="E369" s="9" t="str">
        <x:v>SL/HL</x:v>
      </x:c>
      <x:c r="F369" s="9" t="str">
        <x:v>Voltage-gated ion channel</x:v>
      </x:c>
      <x:c r="G369" s="9" t="str">
        <x:v>A membrane pore that opens or closes in response to a change in membrane voltage.</x:v>
      </x:c>
      <x:c r="H369" s="9" t="str">
        <x:v>OpenStax Biology 2e, 35.2 How Neurons Communicate</x:v>
      </x:c>
      <x:c r="I369" s="9" t="str">
        <x:v>https://openstax.org/books/biology-2e/pages/35-2-how-neurons-communicate</x:v>
      </x:c>
      <x:c r="J369" s="9" t="str">
        <x:v>Verified</x:v>
      </x:c>
    </x:row>
    <x:row r="370" ht="42" customHeight="1">
      <x:c r="A370" s="8" t="str">
        <x:v>C2.2-05</x:v>
      </x:c>
      <x:c r="B370" s="8" t="str">
        <x:v>C2.2</x:v>
      </x:c>
      <x:c r="C370" s="9" t="str">
        <x:v>Interaction and interdependence</x:v>
      </x:c>
      <x:c r="D370" s="9" t="str">
        <x:v>Neural signalling</x:v>
      </x:c>
      <x:c r="E370" s="9" t="str">
        <x:v>SL/HL</x:v>
      </x:c>
      <x:c r="F370" s="9" t="str">
        <x:v>Depolarization</x:v>
      </x:c>
      <x:c r="G370" s="9" t="str">
        <x:v>A change that makes membrane potential less negative or more positive.</x:v>
      </x:c>
      <x:c r="H370" s="9" t="str">
        <x:v>OpenStax Biology 2e, 35.2 How Neurons Communicate</x:v>
      </x:c>
      <x:c r="I370" s="9" t="str">
        <x:v>https://openstax.org/books/biology-2e/pages/35-2-how-neurons-communicate</x:v>
      </x:c>
      <x:c r="J370" s="9" t="str">
        <x:v>Verified</x:v>
      </x:c>
    </x:row>
    <x:row r="371" ht="42" customHeight="1">
      <x:c r="A371" s="8" t="str">
        <x:v>C2.2-06</x:v>
      </x:c>
      <x:c r="B371" s="8" t="str">
        <x:v>C2.2</x:v>
      </x:c>
      <x:c r="C371" s="9" t="str">
        <x:v>Interaction and interdependence</x:v>
      </x:c>
      <x:c r="D371" s="9" t="str">
        <x:v>Neural signalling</x:v>
      </x:c>
      <x:c r="E371" s="9" t="str">
        <x:v>SL/HL</x:v>
      </x:c>
      <x:c r="F371" s="9" t="str">
        <x:v>Repolarization</x:v>
      </x:c>
      <x:c r="G371" s="9" t="str">
        <x:v>Return of membrane potential toward its resting value after depolarization.</x:v>
      </x:c>
      <x:c r="H371" s="9" t="str">
        <x:v>OpenStax Biology 2e, 35.2 How Neurons Communicate</x:v>
      </x:c>
      <x:c r="I371" s="9" t="str">
        <x:v>https://openstax.org/books/biology-2e/pages/35-2-how-neurons-communicate</x:v>
      </x:c>
      <x:c r="J371" s="9" t="str">
        <x:v>Verified</x:v>
      </x:c>
    </x:row>
    <x:row r="372" ht="42" customHeight="1">
      <x:c r="A372" s="8" t="str">
        <x:v>C2.2-07</x:v>
      </x:c>
      <x:c r="B372" s="8" t="str">
        <x:v>C2.2</x:v>
      </x:c>
      <x:c r="C372" s="9" t="str">
        <x:v>Interaction and interdependence</x:v>
      </x:c>
      <x:c r="D372" s="9" t="str">
        <x:v>Neural signalling</x:v>
      </x:c>
      <x:c r="E372" s="9" t="str">
        <x:v>SL/HL</x:v>
      </x:c>
      <x:c r="F372" s="9" t="str">
        <x:v>Hyperpolarization</x:v>
      </x:c>
      <x:c r="G372" s="9" t="str">
        <x:v>A change that makes membrane potential more negative than the resting value.</x:v>
      </x:c>
      <x:c r="H372" s="9" t="str">
        <x:v>OpenStax Biology 2e, 35.2 How Neurons Communicate</x:v>
      </x:c>
      <x:c r="I372" s="9" t="str">
        <x:v>https://openstax.org/books/biology-2e/pages/35-2-how-neurons-communicate</x:v>
      </x:c>
      <x:c r="J372" s="9" t="str">
        <x:v>Verified</x:v>
      </x:c>
    </x:row>
    <x:row r="373" ht="42" customHeight="1">
      <x:c r="A373" s="8" t="str">
        <x:v>C2.2-08</x:v>
      </x:c>
      <x:c r="B373" s="8" t="str">
        <x:v>C2.2</x:v>
      </x:c>
      <x:c r="C373" s="9" t="str">
        <x:v>Interaction and interdependence</x:v>
      </x:c>
      <x:c r="D373" s="9" t="str">
        <x:v>Neural signalling</x:v>
      </x:c>
      <x:c r="E373" s="9" t="str">
        <x:v>SL/HL</x:v>
      </x:c>
      <x:c r="F373" s="9" t="str">
        <x:v>Action potential</x:v>
      </x:c>
      <x:c r="G373" s="9" t="str">
        <x:v>A rapid, all-or-none reversal and restoration of membrane voltage that propagates along an excitable membrane.</x:v>
      </x:c>
      <x:c r="H373" s="9" t="str">
        <x:v>OpenStax Biology 2e, 35.2 How Neurons Communicate</x:v>
      </x:c>
      <x:c r="I373" s="9" t="str">
        <x:v>https://openstax.org/books/biology-2e/pages/35-2-how-neurons-communicate</x:v>
      </x:c>
      <x:c r="J373" s="9" t="str">
        <x:v>Verified</x:v>
      </x:c>
    </x:row>
    <x:row r="374" ht="42" customHeight="1">
      <x:c r="A374" s="8" t="str">
        <x:v>C2.2-09</x:v>
      </x:c>
      <x:c r="B374" s="8" t="str">
        <x:v>C2.2</x:v>
      </x:c>
      <x:c r="C374" s="9" t="str">
        <x:v>Interaction and interdependence</x:v>
      </x:c>
      <x:c r="D374" s="9" t="str">
        <x:v>Neural signalling</x:v>
      </x:c>
      <x:c r="E374" s="9" t="str">
        <x:v>SL/HL</x:v>
      </x:c>
      <x:c r="F374" s="9" t="str">
        <x:v>Threshold potential</x:v>
      </x:c>
      <x:c r="G374" s="9" t="str">
        <x:v>The membrane voltage at which regenerative opening of voltage-gated channels triggers an action potential.</x:v>
      </x:c>
      <x:c r="H374" s="9" t="str">
        <x:v>OpenStax Biology 2e, 35.2 How Neurons Communicate</x:v>
      </x:c>
      <x:c r="I374" s="9" t="str">
        <x:v>https://openstax.org/books/biology-2e/pages/35-2-how-neurons-communicate</x:v>
      </x:c>
      <x:c r="J374" s="9" t="str">
        <x:v>Verified</x:v>
      </x:c>
    </x:row>
    <x:row r="375" ht="42" customHeight="1">
      <x:c r="A375" s="8" t="str">
        <x:v>C2.2-10</x:v>
      </x:c>
      <x:c r="B375" s="8" t="str">
        <x:v>C2.2</x:v>
      </x:c>
      <x:c r="C375" s="9" t="str">
        <x:v>Interaction and interdependence</x:v>
      </x:c>
      <x:c r="D375" s="9" t="str">
        <x:v>Neural signalling</x:v>
      </x:c>
      <x:c r="E375" s="9" t="str">
        <x:v>SL/HL</x:v>
      </x:c>
      <x:c r="F375" s="9" t="str">
        <x:v>Refractory period</x:v>
      </x:c>
      <x:c r="G375" s="9" t="str">
        <x:v>A time after an action potential when another is impossible or requires a stronger stimulus.</x:v>
      </x:c>
      <x:c r="H375" s="9" t="str">
        <x:v>OpenStax Biology 2e, 35.2 How Neurons Communicate</x:v>
      </x:c>
      <x:c r="I375" s="9" t="str">
        <x:v>https://openstax.org/books/biology-2e/pages/35-2-how-neurons-communicate</x:v>
      </x:c>
      <x:c r="J375" s="9" t="str">
        <x:v>Verified</x:v>
      </x:c>
    </x:row>
    <x:row r="376" ht="42" customHeight="1">
      <x:c r="A376" s="8" t="str">
        <x:v>C2.2-11</x:v>
      </x:c>
      <x:c r="B376" s="8" t="str">
        <x:v>C2.2</x:v>
      </x:c>
      <x:c r="C376" s="9" t="str">
        <x:v>Interaction and interdependence</x:v>
      </x:c>
      <x:c r="D376" s="9" t="str">
        <x:v>Neural signalling</x:v>
      </x:c>
      <x:c r="E376" s="9" t="str">
        <x:v>SL/HL</x:v>
      </x:c>
      <x:c r="F376" s="9" t="str">
        <x:v>Myelin sheath</x:v>
      </x:c>
      <x:c r="G376" s="9" t="str">
        <x:v>A multilayered insulating covering around an axon that increases conduction speed.</x:v>
      </x:c>
      <x:c r="H376" s="9" t="str">
        <x:v>OpenStax Biology 2e, 35.2 How Neurons Communicate</x:v>
      </x:c>
      <x:c r="I376" s="9" t="str">
        <x:v>https://openstax.org/books/biology-2e/pages/35-2-how-neurons-communicate</x:v>
      </x:c>
      <x:c r="J376" s="9" t="str">
        <x:v>Verified</x:v>
      </x:c>
    </x:row>
    <x:row r="377" ht="42" customHeight="1">
      <x:c r="A377" s="8" t="str">
        <x:v>C2.2-12</x:v>
      </x:c>
      <x:c r="B377" s="8" t="str">
        <x:v>C2.2</x:v>
      </x:c>
      <x:c r="C377" s="9" t="str">
        <x:v>Interaction and interdependence</x:v>
      </x:c>
      <x:c r="D377" s="9" t="str">
        <x:v>Neural signalling</x:v>
      </x:c>
      <x:c r="E377" s="9" t="str">
        <x:v>SL/HL</x:v>
      </x:c>
      <x:c r="F377" s="9" t="str">
        <x:v>Node of Ranvier</x:v>
      </x:c>
      <x:c r="G377" s="9" t="str">
        <x:v>An unmyelinated axon gap rich in voltage-gated channels where an action potential is regenerated.</x:v>
      </x:c>
      <x:c r="H377" s="9" t="str">
        <x:v>OpenStax Biology 2e, 35.2 How Neurons Communicate</x:v>
      </x:c>
      <x:c r="I377" s="9" t="str">
        <x:v>https://openstax.org/books/biology-2e/pages/35-2-how-neurons-communicate</x:v>
      </x:c>
      <x:c r="J377" s="9" t="str">
        <x:v>Verified</x:v>
      </x:c>
    </x:row>
    <x:row r="378" ht="42" customHeight="1">
      <x:c r="A378" s="8" t="str">
        <x:v>C2.2-13</x:v>
      </x:c>
      <x:c r="B378" s="8" t="str">
        <x:v>C2.2</x:v>
      </x:c>
      <x:c r="C378" s="9" t="str">
        <x:v>Interaction and interdependence</x:v>
      </x:c>
      <x:c r="D378" s="9" t="str">
        <x:v>Neural signalling</x:v>
      </x:c>
      <x:c r="E378" s="9" t="str">
        <x:v>SL/HL</x:v>
      </x:c>
      <x:c r="F378" s="9" t="str">
        <x:v>Saltatory conduction</x:v>
      </x:c>
      <x:c r="G378" s="9" t="str">
        <x:v>Rapid propagation in which action potentials are regenerated at successive nodes of a myelinated axon.</x:v>
      </x:c>
      <x:c r="H378" s="9" t="str">
        <x:v>OpenStax Biology 2e, 35.2 How Neurons Communicate</x:v>
      </x:c>
      <x:c r="I378" s="9" t="str">
        <x:v>https://openstax.org/books/biology-2e/pages/35-2-how-neurons-communicate</x:v>
      </x:c>
      <x:c r="J378" s="9" t="str">
        <x:v>Verified</x:v>
      </x:c>
    </x:row>
    <x:row r="379" ht="42" customHeight="1">
      <x:c r="A379" s="8" t="str">
        <x:v>C2.2-14</x:v>
      </x:c>
      <x:c r="B379" s="8" t="str">
        <x:v>C2.2</x:v>
      </x:c>
      <x:c r="C379" s="9" t="str">
        <x:v>Interaction and interdependence</x:v>
      </x:c>
      <x:c r="D379" s="9" t="str">
        <x:v>Neural signalling</x:v>
      </x:c>
      <x:c r="E379" s="9" t="str">
        <x:v>SL/HL</x:v>
      </x:c>
      <x:c r="F379" s="9" t="str">
        <x:v>Synapse</x:v>
      </x:c>
      <x:c r="G379" s="9" t="str">
        <x:v>A junction where a neuron communicates with another cell electrically or chemically.</x:v>
      </x:c>
      <x:c r="H379" s="9" t="str">
        <x:v>OpenStax Biology 2e, 35.2 How Neurons Communicate</x:v>
      </x:c>
      <x:c r="I379" s="9" t="str">
        <x:v>https://openstax.org/books/biology-2e/pages/35-2-how-neurons-communicate</x:v>
      </x:c>
      <x:c r="J379" s="9" t="str">
        <x:v>Verified</x:v>
      </x:c>
    </x:row>
    <x:row r="380" ht="42" customHeight="1">
      <x:c r="A380" s="8" t="str">
        <x:v>C2.2-15</x:v>
      </x:c>
      <x:c r="B380" s="8" t="str">
        <x:v>C2.2</x:v>
      </x:c>
      <x:c r="C380" s="9" t="str">
        <x:v>Interaction and interdependence</x:v>
      </x:c>
      <x:c r="D380" s="9" t="str">
        <x:v>Neural signalling</x:v>
      </x:c>
      <x:c r="E380" s="9" t="str">
        <x:v>SL/HL</x:v>
      </x:c>
      <x:c r="F380" s="9" t="str">
        <x:v>Neurotransmitter</x:v>
      </x:c>
      <x:c r="G380" s="9" t="str">
        <x:v>A chemical released from a neuron that binds receptors on a postsynaptic cell.</x:v>
      </x:c>
      <x:c r="H380" s="9" t="str">
        <x:v>OpenStax Biology 2e, 35.2 How Neurons Communicate</x:v>
      </x:c>
      <x:c r="I380" s="9" t="str">
        <x:v>https://openstax.org/books/biology-2e/pages/35-2-how-neurons-communicate</x:v>
      </x:c>
      <x:c r="J380" s="9" t="str">
        <x:v>Verified</x:v>
      </x:c>
    </x:row>
    <x:row r="381" ht="42" customHeight="1">
      <x:c r="A381" s="8" t="str">
        <x:v>C2.2-16</x:v>
      </x:c>
      <x:c r="B381" s="8" t="str">
        <x:v>C2.2</x:v>
      </x:c>
      <x:c r="C381" s="9" t="str">
        <x:v>Interaction and interdependence</x:v>
      </x:c>
      <x:c r="D381" s="9" t="str">
        <x:v>Neural signalling</x:v>
      </x:c>
      <x:c r="E381" s="9" t="str">
        <x:v>SL/HL</x:v>
      </x:c>
      <x:c r="F381" s="9" t="str">
        <x:v>Postsynaptic potential</x:v>
      </x:c>
      <x:c r="G381" s="9" t="str">
        <x:v>A graded membrane-voltage change in a target cell caused by synaptic input.</x:v>
      </x:c>
      <x:c r="H381" s="9" t="str">
        <x:v>OpenStax Biology 2e, 35.2 How Neurons Communicate</x:v>
      </x:c>
      <x:c r="I381" s="9" t="str">
        <x:v>https://openstax.org/books/biology-2e/pages/35-2-how-neurons-communicate</x:v>
      </x:c>
      <x:c r="J381" s="9" t="str">
        <x:v>Verified</x:v>
      </x:c>
    </x:row>
    <x:row r="382" ht="42" customHeight="1">
      <x:c r="A382" s="8" t="str">
        <x:v>C2.2-17</x:v>
      </x:c>
      <x:c r="B382" s="8" t="str">
        <x:v>C2.2</x:v>
      </x:c>
      <x:c r="C382" s="9" t="str">
        <x:v>Interaction and interdependence</x:v>
      </x:c>
      <x:c r="D382" s="9" t="str">
        <x:v>Neural signalling</x:v>
      </x:c>
      <x:c r="E382" s="9" t="str">
        <x:v>SL/HL</x:v>
      </x:c>
      <x:c r="F382" s="9" t="str">
        <x:v>Synaptic cleft</x:v>
      </x:c>
      <x:c r="G382" s="9" t="str">
        <x:v>The narrow extracellular gap across which neurotransmitter diffuses at a chemical synapse.</x:v>
      </x:c>
      <x:c r="H382" s="9" t="str">
        <x:v>OpenStax Biology 2e, 35.2 How Neurons Communicate</x:v>
      </x:c>
      <x:c r="I382" s="9" t="str">
        <x:v>https://openstax.org/books/biology-2e/pages/35-2-how-neurons-communicate</x:v>
      </x:c>
      <x:c r="J382" s="9" t="str">
        <x:v>Verified</x:v>
      </x:c>
    </x:row>
    <x:row r="383" ht="42" customHeight="1">
      <x:c r="A383" s="8" t="str">
        <x:v>C3.1-01</x:v>
      </x:c>
      <x:c r="B383" s="8" t="str">
        <x:v>C3.1</x:v>
      </x:c>
      <x:c r="C383" s="9" t="str">
        <x:v>Interaction and interdependence</x:v>
      </x:c>
      <x:c r="D383" s="9" t="str">
        <x:v>Integration of body systems</x:v>
      </x:c>
      <x:c r="E383" s="9" t="str">
        <x:v>SL/HL</x:v>
      </x:c>
      <x:c r="F383" s="9" t="str">
        <x:v>Hypothalamus</x:v>
      </x:c>
      <x:c r="G383" s="9" t="str">
        <x:v>A brain region that integrates neural and endocrine control of temperature, water balance, hunger, and other functions.</x:v>
      </x:c>
      <x:c r="H383" s="9" t="str">
        <x:v>OpenStax Biology 2e, 37 The Endocrine System</x:v>
      </x:c>
      <x:c r="I383" s="9" t="str">
        <x:v>https://openstax.org/books/biology-2e/pages/37-introduction</x:v>
      </x:c>
      <x:c r="J383" s="9" t="str">
        <x:v>Verified</x:v>
      </x:c>
    </x:row>
    <x:row r="384" ht="42" customHeight="1">
      <x:c r="A384" s="8" t="str">
        <x:v>C3.1-02</x:v>
      </x:c>
      <x:c r="B384" s="8" t="str">
        <x:v>C3.1</x:v>
      </x:c>
      <x:c r="C384" s="9" t="str">
        <x:v>Interaction and interdependence</x:v>
      </x:c>
      <x:c r="D384" s="9" t="str">
        <x:v>Integration of body systems</x:v>
      </x:c>
      <x:c r="E384" s="9" t="str">
        <x:v>SL/HL</x:v>
      </x:c>
      <x:c r="F384" s="9" t="str">
        <x:v>Pituitary gland</x:v>
      </x:c>
      <x:c r="G384" s="9" t="str">
        <x:v>An endocrine gland linked to the hypothalamus that releases hormones regulating multiple target organs.</x:v>
      </x:c>
      <x:c r="H384" s="9" t="str">
        <x:v>OpenStax Biology 2e, 37 The Endocrine System</x:v>
      </x:c>
      <x:c r="I384" s="9" t="str">
        <x:v>https://openstax.org/books/biology-2e/pages/37-introduction</x:v>
      </x:c>
      <x:c r="J384" s="9" t="str">
        <x:v>Verified</x:v>
      </x:c>
    </x:row>
    <x:row r="385" ht="42" customHeight="1">
      <x:c r="A385" s="8" t="str">
        <x:v>C3.1-03</x:v>
      </x:c>
      <x:c r="B385" s="8" t="str">
        <x:v>C3.1</x:v>
      </x:c>
      <x:c r="C385" s="9" t="str">
        <x:v>Interaction and interdependence</x:v>
      </x:c>
      <x:c r="D385" s="9" t="str">
        <x:v>Integration of body systems</x:v>
      </x:c>
      <x:c r="E385" s="9" t="str">
        <x:v>SL/HL</x:v>
      </x:c>
      <x:c r="F385" s="9" t="str">
        <x:v>Pancreatic islet</x:v>
      </x:c>
      <x:c r="G385" s="9" t="str">
        <x:v>A cluster of endocrine cells in the pancreas that secretes hormones controlling blood glucose.</x:v>
      </x:c>
      <x:c r="H385" s="9" t="str">
        <x:v>OpenStax Biology 2e, 37 The Endocrine System</x:v>
      </x:c>
      <x:c r="I385" s="9" t="str">
        <x:v>https://openstax.org/books/biology-2e/pages/37-introduction</x:v>
      </x:c>
      <x:c r="J385" s="9" t="str">
        <x:v>Verified</x:v>
      </x:c>
    </x:row>
    <x:row r="386" ht="42" customHeight="1">
      <x:c r="A386" s="8" t="str">
        <x:v>C3.1-04</x:v>
      </x:c>
      <x:c r="B386" s="8" t="str">
        <x:v>C3.1</x:v>
      </x:c>
      <x:c r="C386" s="9" t="str">
        <x:v>Interaction and interdependence</x:v>
      </x:c>
      <x:c r="D386" s="9" t="str">
        <x:v>Integration of body systems</x:v>
      </x:c>
      <x:c r="E386" s="9" t="str">
        <x:v>SL/HL</x:v>
      </x:c>
      <x:c r="F386" s="9" t="str">
        <x:v>Insulin</x:v>
      </x:c>
      <x:c r="G386" s="9" t="str">
        <x:v>A pancreatic hormone that lowers blood glucose by promoting uptake, use, and storage of glucose.</x:v>
      </x:c>
      <x:c r="H386" s="9" t="str">
        <x:v>OpenStax Biology 2e, 37 The Endocrine System</x:v>
      </x:c>
      <x:c r="I386" s="9" t="str">
        <x:v>https://openstax.org/books/biology-2e/pages/37-introduction</x:v>
      </x:c>
      <x:c r="J386" s="9" t="str">
        <x:v>Verified</x:v>
      </x:c>
    </x:row>
    <x:row r="387" ht="42" customHeight="1">
      <x:c r="A387" s="8" t="str">
        <x:v>C3.1-05</x:v>
      </x:c>
      <x:c r="B387" s="8" t="str">
        <x:v>C3.1</x:v>
      </x:c>
      <x:c r="C387" s="9" t="str">
        <x:v>Interaction and interdependence</x:v>
      </x:c>
      <x:c r="D387" s="9" t="str">
        <x:v>Integration of body systems</x:v>
      </x:c>
      <x:c r="E387" s="9" t="str">
        <x:v>SL/HL</x:v>
      </x:c>
      <x:c r="F387" s="9" t="str">
        <x:v>Glucagon</x:v>
      </x:c>
      <x:c r="G387" s="9" t="str">
        <x:v>A pancreatic hormone that raises blood glucose by promoting liver glycogen breakdown and glucose production.</x:v>
      </x:c>
      <x:c r="H387" s="9" t="str">
        <x:v>OpenStax Biology 2e, 37 The Endocrine System</x:v>
      </x:c>
      <x:c r="I387" s="9" t="str">
        <x:v>https://openstax.org/books/biology-2e/pages/37-introduction</x:v>
      </x:c>
      <x:c r="J387" s="9" t="str">
        <x:v>Verified</x:v>
      </x:c>
    </x:row>
    <x:row r="388" ht="42" customHeight="1">
      <x:c r="A388" s="8" t="str">
        <x:v>C3.1-06</x:v>
      </x:c>
      <x:c r="B388" s="8" t="str">
        <x:v>C3.1</x:v>
      </x:c>
      <x:c r="C388" s="9" t="str">
        <x:v>Interaction and interdependence</x:v>
      </x:c>
      <x:c r="D388" s="9" t="str">
        <x:v>Integration of body systems</x:v>
      </x:c>
      <x:c r="E388" s="9" t="str">
        <x:v>SL/HL</x:v>
      </x:c>
      <x:c r="F388" s="9" t="str">
        <x:v>Glycogenesis</x:v>
      </x:c>
      <x:c r="G388" s="9" t="str">
        <x:v>Formation of glycogen from glucose for storage.</x:v>
      </x:c>
      <x:c r="H388" s="9" t="str">
        <x:v>OpenStax Biology 2e, 37 The Endocrine System</x:v>
      </x:c>
      <x:c r="I388" s="9" t="str">
        <x:v>https://openstax.org/books/biology-2e/pages/37-introduction</x:v>
      </x:c>
      <x:c r="J388" s="9" t="str">
        <x:v>Verified</x:v>
      </x:c>
    </x:row>
    <x:row r="389" ht="42" customHeight="1">
      <x:c r="A389" s="8" t="str">
        <x:v>C3.1-07</x:v>
      </x:c>
      <x:c r="B389" s="8" t="str">
        <x:v>C3.1</x:v>
      </x:c>
      <x:c r="C389" s="9" t="str">
        <x:v>Interaction and interdependence</x:v>
      </x:c>
      <x:c r="D389" s="9" t="str">
        <x:v>Integration of body systems</x:v>
      </x:c>
      <x:c r="E389" s="9" t="str">
        <x:v>SL/HL</x:v>
      </x:c>
      <x:c r="F389" s="9" t="str">
        <x:v>Glycogenolysis</x:v>
      </x:c>
      <x:c r="G389" s="9" t="str">
        <x:v>Enzymatic breakdown of glycogen to release glucose units for metabolism or blood-glucose support.</x:v>
      </x:c>
      <x:c r="H389" s="9" t="str">
        <x:v>OpenStax Biology 2e, 37 The Endocrine System</x:v>
      </x:c>
      <x:c r="I389" s="9" t="str">
        <x:v>https://openstax.org/books/biology-2e/pages/37-introduction</x:v>
      </x:c>
      <x:c r="J389" s="9" t="str">
        <x:v>Verified</x:v>
      </x:c>
    </x:row>
    <x:row r="390" ht="42" customHeight="1">
      <x:c r="A390" s="8" t="str">
        <x:v>C3.1-08</x:v>
      </x:c>
      <x:c r="B390" s="8" t="str">
        <x:v>C3.1</x:v>
      </x:c>
      <x:c r="C390" s="9" t="str">
        <x:v>Interaction and interdependence</x:v>
      </x:c>
      <x:c r="D390" s="9" t="str">
        <x:v>Integration of body systems</x:v>
      </x:c>
      <x:c r="E390" s="9" t="str">
        <x:v>SL/HL</x:v>
      </x:c>
      <x:c r="F390" s="9" t="str">
        <x:v>Kidney</x:v>
      </x:c>
      <x:c r="G390" s="9" t="str">
        <x:v>An organ that filters blood, regulates fluid composition, and excretes nitrogenous wastes as urine.</x:v>
      </x:c>
      <x:c r="H390" s="9" t="str">
        <x:v>OpenStax Biology 2e, 41 Osmotic Regulation and Excretion</x:v>
      </x:c>
      <x:c r="I390" s="9" t="str">
        <x:v>https://openstax.org/books/biology-2e/pages/41-introduction</x:v>
      </x:c>
      <x:c r="J390" s="9" t="str">
        <x:v>Verified</x:v>
      </x:c>
    </x:row>
    <x:row r="391" ht="42" customHeight="1">
      <x:c r="A391" s="8" t="str">
        <x:v>C3.1-09</x:v>
      </x:c>
      <x:c r="B391" s="8" t="str">
        <x:v>C3.1</x:v>
      </x:c>
      <x:c r="C391" s="9" t="str">
        <x:v>Interaction and interdependence</x:v>
      </x:c>
      <x:c r="D391" s="9" t="str">
        <x:v>Integration of body systems</x:v>
      </x:c>
      <x:c r="E391" s="9" t="str">
        <x:v>SL/HL</x:v>
      </x:c>
      <x:c r="F391" s="9" t="str">
        <x:v>Nephron</x:v>
      </x:c>
      <x:c r="G391" s="9" t="str">
        <x:v>The microscopic functional unit of a kidney that filters blood and modifies filtrate into urine.</x:v>
      </x:c>
      <x:c r="H391" s="9" t="str">
        <x:v>OpenStax Biology 2e, 41 Osmotic Regulation and Excretion</x:v>
      </x:c>
      <x:c r="I391" s="9" t="str">
        <x:v>https://openstax.org/books/biology-2e/pages/41-introduction</x:v>
      </x:c>
      <x:c r="J391" s="9" t="str">
        <x:v>Verified</x:v>
      </x:c>
    </x:row>
    <x:row r="392" ht="42" customHeight="1">
      <x:c r="A392" s="8" t="str">
        <x:v>C3.1-10</x:v>
      </x:c>
      <x:c r="B392" s="8" t="str">
        <x:v>C3.1</x:v>
      </x:c>
      <x:c r="C392" s="9" t="str">
        <x:v>Interaction and interdependence</x:v>
      </x:c>
      <x:c r="D392" s="9" t="str">
        <x:v>Integration of body systems</x:v>
      </x:c>
      <x:c r="E392" s="9" t="str">
        <x:v>SL/HL</x:v>
      </x:c>
      <x:c r="F392" s="9" t="str">
        <x:v>Glomerulus</x:v>
      </x:c>
      <x:c r="G392" s="9" t="str">
        <x:v>A capillary tuft in a nephron where high pressure drives filtration into Bowman’s capsule.</x:v>
      </x:c>
      <x:c r="H392" s="9" t="str">
        <x:v>OpenStax Biology 2e, 41 Osmotic Regulation and Excretion</x:v>
      </x:c>
      <x:c r="I392" s="9" t="str">
        <x:v>https://openstax.org/books/biology-2e/pages/41-introduction</x:v>
      </x:c>
      <x:c r="J392" s="9" t="str">
        <x:v>Verified</x:v>
      </x:c>
    </x:row>
    <x:row r="393" ht="42" customHeight="1">
      <x:c r="A393" s="8" t="str">
        <x:v>C3.1-11</x:v>
      </x:c>
      <x:c r="B393" s="8" t="str">
        <x:v>C3.1</x:v>
      </x:c>
      <x:c r="C393" s="9" t="str">
        <x:v>Interaction and interdependence</x:v>
      </x:c>
      <x:c r="D393" s="9" t="str">
        <x:v>Integration of body systems</x:v>
      </x:c>
      <x:c r="E393" s="9" t="str">
        <x:v>SL/HL</x:v>
      </x:c>
      <x:c r="F393" s="9" t="str">
        <x:v>Ultrafiltration</x:v>
      </x:c>
      <x:c r="G393" s="9" t="str">
        <x:v>Pressure-driven movement of water and small solutes from glomerular blood into the nephron capsule.</x:v>
      </x:c>
      <x:c r="H393" s="9" t="str">
        <x:v>OpenStax Biology 2e, 41 Osmotic Regulation and Excretion</x:v>
      </x:c>
      <x:c r="I393" s="9" t="str">
        <x:v>https://openstax.org/books/biology-2e/pages/41-introduction</x:v>
      </x:c>
      <x:c r="J393" s="9" t="str">
        <x:v>Verified</x:v>
      </x:c>
    </x:row>
    <x:row r="394" ht="42" customHeight="1">
      <x:c r="A394" s="8" t="str">
        <x:v>C3.1-12</x:v>
      </x:c>
      <x:c r="B394" s="8" t="str">
        <x:v>C3.1</x:v>
      </x:c>
      <x:c r="C394" s="9" t="str">
        <x:v>Interaction and interdependence</x:v>
      </x:c>
      <x:c r="D394" s="9" t="str">
        <x:v>Integration of body systems</x:v>
      </x:c>
      <x:c r="E394" s="9" t="str">
        <x:v>SL/HL</x:v>
      </x:c>
      <x:c r="F394" s="9" t="str">
        <x:v>Selective reabsorption</x:v>
      </x:c>
      <x:c r="G394" s="9" t="str">
        <x:v>Transfer of needed substances from nephron filtrate back into the blood.</x:v>
      </x:c>
      <x:c r="H394" s="9" t="str">
        <x:v>OpenStax Biology 2e, 41 Osmotic Regulation and Excretion</x:v>
      </x:c>
      <x:c r="I394" s="9" t="str">
        <x:v>https://openstax.org/books/biology-2e/pages/41-introduction</x:v>
      </x:c>
      <x:c r="J394" s="9" t="str">
        <x:v>Verified</x:v>
      </x:c>
    </x:row>
    <x:row r="395" ht="42" customHeight="1">
      <x:c r="A395" s="8" t="str">
        <x:v>C3.1-13</x:v>
      </x:c>
      <x:c r="B395" s="8" t="str">
        <x:v>C3.1</x:v>
      </x:c>
      <x:c r="C395" s="9" t="str">
        <x:v>Interaction and interdependence</x:v>
      </x:c>
      <x:c r="D395" s="9" t="str">
        <x:v>Integration of body systems</x:v>
      </x:c>
      <x:c r="E395" s="9" t="str">
        <x:v>SL/HL</x:v>
      </x:c>
      <x:c r="F395" s="9" t="str">
        <x:v>Loop of Henle</x:v>
      </x:c>
      <x:c r="G395" s="9" t="str">
        <x:v>A U-shaped nephron segment that establishes a medullary osmotic gradient for urine concentration.</x:v>
      </x:c>
      <x:c r="H395" s="9" t="str">
        <x:v>OpenStax Biology 2e, 41 Osmotic Regulation and Excretion</x:v>
      </x:c>
      <x:c r="I395" s="9" t="str">
        <x:v>https://openstax.org/books/biology-2e/pages/41-introduction</x:v>
      </x:c>
      <x:c r="J395" s="9" t="str">
        <x:v>Verified</x:v>
      </x:c>
    </x:row>
    <x:row r="396" ht="42" customHeight="1">
      <x:c r="A396" s="8" t="str">
        <x:v>C3.1-14</x:v>
      </x:c>
      <x:c r="B396" s="8" t="str">
        <x:v>C3.1</x:v>
      </x:c>
      <x:c r="C396" s="9" t="str">
        <x:v>Interaction and interdependence</x:v>
      </x:c>
      <x:c r="D396" s="9" t="str">
        <x:v>Integration of body systems</x:v>
      </x:c>
      <x:c r="E396" s="9" t="str">
        <x:v>SL/HL</x:v>
      </x:c>
      <x:c r="F396" s="9" t="str">
        <x:v>Antidiuretic hormone (ADH)</x:v>
      </x:c>
      <x:c r="G396" s="9" t="str">
        <x:v>A hormone that increases water reabsorption by making kidney collecting ducts more permeable to water.</x:v>
      </x:c>
      <x:c r="H396" s="9" t="str">
        <x:v>OpenStax Biology 2e, 41 Osmotic Regulation and Excretion</x:v>
      </x:c>
      <x:c r="I396" s="9" t="str">
        <x:v>https://openstax.org/books/biology-2e/pages/41-introduction</x:v>
      </x:c>
      <x:c r="J396" s="9" t="str">
        <x:v>Verified</x:v>
      </x:c>
    </x:row>
    <x:row r="397" ht="42" customHeight="1">
      <x:c r="A397" s="8" t="str">
        <x:v>C3.1-15</x:v>
      </x:c>
      <x:c r="B397" s="8" t="str">
        <x:v>C3.1</x:v>
      </x:c>
      <x:c r="C397" s="9" t="str">
        <x:v>Interaction and interdependence</x:v>
      </x:c>
      <x:c r="D397" s="9" t="str">
        <x:v>Integration of body systems</x:v>
      </x:c>
      <x:c r="E397" s="9" t="str">
        <x:v>SL/HL</x:v>
      </x:c>
      <x:c r="F397" s="9" t="str">
        <x:v>Osmoreceptor</x:v>
      </x:c>
      <x:c r="G397" s="9" t="str">
        <x:v>A sensory cell that detects changes in the osmotic concentration of body fluids.</x:v>
      </x:c>
      <x:c r="H397" s="9" t="str">
        <x:v>OpenStax Biology 2e, 41 Osmotic Regulation and Excretion</x:v>
      </x:c>
      <x:c r="I397" s="9" t="str">
        <x:v>https://openstax.org/books/biology-2e/pages/41-introduction</x:v>
      </x:c>
      <x:c r="J397" s="9" t="str">
        <x:v>Verified</x:v>
      </x:c>
    </x:row>
    <x:row r="398" ht="42" customHeight="1">
      <x:c r="A398" s="8" t="str">
        <x:v>C3.1-16</x:v>
      </x:c>
      <x:c r="B398" s="8" t="str">
        <x:v>C3.1</x:v>
      </x:c>
      <x:c r="C398" s="9" t="str">
        <x:v>Interaction and interdependence</x:v>
      </x:c>
      <x:c r="D398" s="9" t="str">
        <x:v>Integration of body systems</x:v>
      </x:c>
      <x:c r="E398" s="9" t="str">
        <x:v>SL/HL</x:v>
      </x:c>
      <x:c r="F398" s="9" t="str">
        <x:v>Target cell</x:v>
      </x:c>
      <x:c r="G398" s="9" t="str">
        <x:v>A cell able to respond to a signal because it expresses the appropriate receptor.</x:v>
      </x:c>
      <x:c r="H398" s="9" t="str">
        <x:v>OpenStax Biology 2e, 37 The Endocrine System</x:v>
      </x:c>
      <x:c r="I398" s="9" t="str">
        <x:v>https://openstax.org/books/biology-2e/pages/37-introduction</x:v>
      </x:c>
      <x:c r="J398" s="9" t="str">
        <x:v>Verified</x:v>
      </x:c>
    </x:row>
    <x:row r="399" ht="42" customHeight="1">
      <x:c r="A399" s="8" t="str">
        <x:v>C3.2-01</x:v>
      </x:c>
      <x:c r="B399" s="8" t="str">
        <x:v>C3.2</x:v>
      </x:c>
      <x:c r="C399" s="9" t="str">
        <x:v>Interaction and interdependence</x:v>
      </x:c>
      <x:c r="D399" s="9" t="str">
        <x:v>Defence against disease</x:v>
      </x:c>
      <x:c r="E399" s="9" t="str">
        <x:v>SL/HL</x:v>
      </x:c>
      <x:c r="F399" s="9" t="str">
        <x:v>Pathogen</x:v>
      </x:c>
      <x:c r="G399" s="9" t="str">
        <x:v>A biological agent capable of causing disease in a host.</x:v>
      </x:c>
      <x:c r="H399" s="9" t="str">
        <x:v>OpenStax Biology 2e, 42 The Immune System</x:v>
      </x:c>
      <x:c r="I399" s="9" t="str">
        <x:v>https://openstax.org/books/biology-2e/pages/42-introduction</x:v>
      </x:c>
      <x:c r="J399" s="9" t="str">
        <x:v>Verified</x:v>
      </x:c>
    </x:row>
    <x:row r="400" ht="42" customHeight="1">
      <x:c r="A400" s="8" t="str">
        <x:v>C3.2-02</x:v>
      </x:c>
      <x:c r="B400" s="8" t="str">
        <x:v>C3.2</x:v>
      </x:c>
      <x:c r="C400" s="9" t="str">
        <x:v>Interaction and interdependence</x:v>
      </x:c>
      <x:c r="D400" s="9" t="str">
        <x:v>Defence against disease</x:v>
      </x:c>
      <x:c r="E400" s="9" t="str">
        <x:v>SL/HL</x:v>
      </x:c>
      <x:c r="F400" s="9" t="str">
        <x:v>Innate immunity</x:v>
      </x:c>
      <x:c r="G400" s="9" t="str">
        <x:v>Rapid, non-specific defense mechanisms present before exposure to a particular pathogen.</x:v>
      </x:c>
      <x:c r="H400" s="9" t="str">
        <x:v>OpenStax Biology 2e, 42 The Immune System</x:v>
      </x:c>
      <x:c r="I400" s="9" t="str">
        <x:v>https://openstax.org/books/biology-2e/pages/42-introduction</x:v>
      </x:c>
      <x:c r="J400" s="9" t="str">
        <x:v>Verified</x:v>
      </x:c>
    </x:row>
    <x:row r="401" ht="42" customHeight="1">
      <x:c r="A401" s="8" t="str">
        <x:v>C3.2-03</x:v>
      </x:c>
      <x:c r="B401" s="8" t="str">
        <x:v>C3.2</x:v>
      </x:c>
      <x:c r="C401" s="9" t="str">
        <x:v>Interaction and interdependence</x:v>
      </x:c>
      <x:c r="D401" s="9" t="str">
        <x:v>Defence against disease</x:v>
      </x:c>
      <x:c r="E401" s="9" t="str">
        <x:v>SL/HL</x:v>
      </x:c>
      <x:c r="F401" s="9" t="str">
        <x:v>Adaptive immunity</x:v>
      </x:c>
      <x:c r="G401" s="9" t="str">
        <x:v>Pathogen-specific defense that develops after antigen recognition and creates immunological memory.</x:v>
      </x:c>
      <x:c r="H401" s="9" t="str">
        <x:v>OpenStax Biology 2e, 42 The Immune System</x:v>
      </x:c>
      <x:c r="I401" s="9" t="str">
        <x:v>https://openstax.org/books/biology-2e/pages/42-introduction</x:v>
      </x:c>
      <x:c r="J401" s="9" t="str">
        <x:v>Verified</x:v>
      </x:c>
    </x:row>
    <x:row r="402" ht="42" customHeight="1">
      <x:c r="A402" s="8" t="str">
        <x:v>C3.2-04</x:v>
      </x:c>
      <x:c r="B402" s="8" t="str">
        <x:v>C3.2</x:v>
      </x:c>
      <x:c r="C402" s="9" t="str">
        <x:v>Interaction and interdependence</x:v>
      </x:c>
      <x:c r="D402" s="9" t="str">
        <x:v>Defence against disease</x:v>
      </x:c>
      <x:c r="E402" s="9" t="str">
        <x:v>SL/HL</x:v>
      </x:c>
      <x:c r="F402" s="9" t="str">
        <x:v>Antigen</x:v>
      </x:c>
      <x:c r="G402" s="9" t="str">
        <x:v>A molecular structure specifically recognized by an antibody or lymphocyte receptor.</x:v>
      </x:c>
      <x:c r="H402" s="9" t="str">
        <x:v>OpenStax Biology 2e, 42 The Immune System</x:v>
      </x:c>
      <x:c r="I402" s="9" t="str">
        <x:v>https://openstax.org/books/biology-2e/pages/42-introduction</x:v>
      </x:c>
      <x:c r="J402" s="9" t="str">
        <x:v>Verified</x:v>
      </x:c>
    </x:row>
    <x:row r="403" ht="42" customHeight="1">
      <x:c r="A403" s="8" t="str">
        <x:v>C3.2-05</x:v>
      </x:c>
      <x:c r="B403" s="8" t="str">
        <x:v>C3.2</x:v>
      </x:c>
      <x:c r="C403" s="9" t="str">
        <x:v>Interaction and interdependence</x:v>
      </x:c>
      <x:c r="D403" s="9" t="str">
        <x:v>Defence against disease</x:v>
      </x:c>
      <x:c r="E403" s="9" t="str">
        <x:v>SL/HL</x:v>
      </x:c>
      <x:c r="F403" s="9" t="str">
        <x:v>Antibody</x:v>
      </x:c>
      <x:c r="G403" s="9" t="str">
        <x:v>A secreted immunoglobulin that binds a specific antigen epitope.</x:v>
      </x:c>
      <x:c r="H403" s="9" t="str">
        <x:v>OpenStax Biology 2e, 42 The Immune System</x:v>
      </x:c>
      <x:c r="I403" s="9" t="str">
        <x:v>https://openstax.org/books/biology-2e/pages/42-introduction</x:v>
      </x:c>
      <x:c r="J403" s="9" t="str">
        <x:v>Verified</x:v>
      </x:c>
    </x:row>
    <x:row r="404" ht="42" customHeight="1">
      <x:c r="A404" s="8" t="str">
        <x:v>C3.2-06</x:v>
      </x:c>
      <x:c r="B404" s="8" t="str">
        <x:v>C3.2</x:v>
      </x:c>
      <x:c r="C404" s="9" t="str">
        <x:v>Interaction and interdependence</x:v>
      </x:c>
      <x:c r="D404" s="9" t="str">
        <x:v>Defence against disease</x:v>
      </x:c>
      <x:c r="E404" s="9" t="str">
        <x:v>SL/HL</x:v>
      </x:c>
      <x:c r="F404" s="9" t="str">
        <x:v>B lymphocyte</x:v>
      </x:c>
      <x:c r="G404" s="9" t="str">
        <x:v>An adaptive immune cell that can differentiate into antibody-secreting or memory cells after activation.</x:v>
      </x:c>
      <x:c r="H404" s="9" t="str">
        <x:v>OpenStax Biology 2e, 42 The Immune System</x:v>
      </x:c>
      <x:c r="I404" s="9" t="str">
        <x:v>https://openstax.org/books/biology-2e/pages/42-introduction</x:v>
      </x:c>
      <x:c r="J404" s="9" t="str">
        <x:v>Verified</x:v>
      </x:c>
    </x:row>
    <x:row r="405" ht="42" customHeight="1">
      <x:c r="A405" s="8" t="str">
        <x:v>C3.2-07</x:v>
      </x:c>
      <x:c r="B405" s="8" t="str">
        <x:v>C3.2</x:v>
      </x:c>
      <x:c r="C405" s="9" t="str">
        <x:v>Interaction and interdependence</x:v>
      </x:c>
      <x:c r="D405" s="9" t="str">
        <x:v>Defence against disease</x:v>
      </x:c>
      <x:c r="E405" s="9" t="str">
        <x:v>SL/HL</x:v>
      </x:c>
      <x:c r="F405" s="9" t="str">
        <x:v>Plasma cell</x:v>
      </x:c>
      <x:c r="G405" s="9" t="str">
        <x:v>An activated B-cell descendant specialized to secrete large quantities of antibody.</x:v>
      </x:c>
      <x:c r="H405" s="9" t="str">
        <x:v>OpenStax Biology 2e, 42 The Immune System</x:v>
      </x:c>
      <x:c r="I405" s="9" t="str">
        <x:v>https://openstax.org/books/biology-2e/pages/42-introduction</x:v>
      </x:c>
      <x:c r="J405" s="9" t="str">
        <x:v>Verified</x:v>
      </x:c>
    </x:row>
    <x:row r="406" ht="42" customHeight="1">
      <x:c r="A406" s="8" t="str">
        <x:v>C3.2-08</x:v>
      </x:c>
      <x:c r="B406" s="8" t="str">
        <x:v>C3.2</x:v>
      </x:c>
      <x:c r="C406" s="9" t="str">
        <x:v>Interaction and interdependence</x:v>
      </x:c>
      <x:c r="D406" s="9" t="str">
        <x:v>Defence against disease</x:v>
      </x:c>
      <x:c r="E406" s="9" t="str">
        <x:v>SL/HL</x:v>
      </x:c>
      <x:c r="F406" s="9" t="str">
        <x:v>Memory B cell</x:v>
      </x:c>
      <x:c r="G406" s="9" t="str">
        <x:v>A long-lived lymphocyte that responds rapidly after later exposure to its specific antigen.</x:v>
      </x:c>
      <x:c r="H406" s="9" t="str">
        <x:v>OpenStax Biology 2e, 42 The Immune System</x:v>
      </x:c>
      <x:c r="I406" s="9" t="str">
        <x:v>https://openstax.org/books/biology-2e/pages/42-introduction</x:v>
      </x:c>
      <x:c r="J406" s="9" t="str">
        <x:v>Verified</x:v>
      </x:c>
    </x:row>
    <x:row r="407" ht="42" customHeight="1">
      <x:c r="A407" s="8" t="str">
        <x:v>C3.2-09</x:v>
      </x:c>
      <x:c r="B407" s="8" t="str">
        <x:v>C3.2</x:v>
      </x:c>
      <x:c r="C407" s="9" t="str">
        <x:v>Interaction and interdependence</x:v>
      </x:c>
      <x:c r="D407" s="9" t="str">
        <x:v>Defence against disease</x:v>
      </x:c>
      <x:c r="E407" s="9" t="str">
        <x:v>SL/HL</x:v>
      </x:c>
      <x:c r="F407" s="9" t="str">
        <x:v>Helper T cell</x:v>
      </x:c>
      <x:c r="G407" s="9" t="str">
        <x:v>A lymphocyte that coordinates immune responses by releasing cytokines after recognizing presented antigen.</x:v>
      </x:c>
      <x:c r="H407" s="9" t="str">
        <x:v>OpenStax Biology 2e, 42 The Immune System</x:v>
      </x:c>
      <x:c r="I407" s="9" t="str">
        <x:v>https://openstax.org/books/biology-2e/pages/42-introduction</x:v>
      </x:c>
      <x:c r="J407" s="9" t="str">
        <x:v>Verified</x:v>
      </x:c>
    </x:row>
    <x:row r="408" ht="42" customHeight="1">
      <x:c r="A408" s="8" t="str">
        <x:v>C3.2-10</x:v>
      </x:c>
      <x:c r="B408" s="8" t="str">
        <x:v>C3.2</x:v>
      </x:c>
      <x:c r="C408" s="9" t="str">
        <x:v>Interaction and interdependence</x:v>
      </x:c>
      <x:c r="D408" s="9" t="str">
        <x:v>Defence against disease</x:v>
      </x:c>
      <x:c r="E408" s="9" t="str">
        <x:v>SL/HL</x:v>
      </x:c>
      <x:c r="F408" s="9" t="str">
        <x:v>Cytotoxic T cell</x:v>
      </x:c>
      <x:c r="G408" s="9" t="str">
        <x:v>A lymphocyte that kills infected or abnormal host cells displaying its specific antigen.</x:v>
      </x:c>
      <x:c r="H408" s="9" t="str">
        <x:v>OpenStax Biology 2e, 42 The Immune System</x:v>
      </x:c>
      <x:c r="I408" s="9" t="str">
        <x:v>https://openstax.org/books/biology-2e/pages/42-introduction</x:v>
      </x:c>
      <x:c r="J408" s="9" t="str">
        <x:v>Verified</x:v>
      </x:c>
    </x:row>
    <x:row r="409" ht="42" customHeight="1">
      <x:c r="A409" s="8" t="str">
        <x:v>C3.2-11</x:v>
      </x:c>
      <x:c r="B409" s="8" t="str">
        <x:v>C3.2</x:v>
      </x:c>
      <x:c r="C409" s="9" t="str">
        <x:v>Interaction and interdependence</x:v>
      </x:c>
      <x:c r="D409" s="9" t="str">
        <x:v>Defence against disease</x:v>
      </x:c>
      <x:c r="E409" s="9" t="str">
        <x:v>SL/HL</x:v>
      </x:c>
      <x:c r="F409" s="9" t="str">
        <x:v>Phagocyte</x:v>
      </x:c>
      <x:c r="G409" s="9" t="str">
        <x:v>A cell that engulfs and digests particles, microbes, or cellular debris.</x:v>
      </x:c>
      <x:c r="H409" s="9" t="str">
        <x:v>OpenStax Biology 2e, 42 The Immune System</x:v>
      </x:c>
      <x:c r="I409" s="9" t="str">
        <x:v>https://openstax.org/books/biology-2e/pages/42-introduction</x:v>
      </x:c>
      <x:c r="J409" s="9" t="str">
        <x:v>Verified</x:v>
      </x:c>
    </x:row>
    <x:row r="410" ht="42" customHeight="1">
      <x:c r="A410" s="8" t="str">
        <x:v>C3.2-12</x:v>
      </x:c>
      <x:c r="B410" s="8" t="str">
        <x:v>C3.2</x:v>
      </x:c>
      <x:c r="C410" s="9" t="str">
        <x:v>Interaction and interdependence</x:v>
      </x:c>
      <x:c r="D410" s="9" t="str">
        <x:v>Defence against disease</x:v>
      </x:c>
      <x:c r="E410" s="9" t="str">
        <x:v>SL/HL</x:v>
      </x:c>
      <x:c r="F410" s="9" t="str">
        <x:v>Phagocytosis</x:v>
      </x:c>
      <x:c r="G410" s="9" t="str">
        <x:v>Uptake of a large particle or cell by membrane engulfment into an internal vesicle.</x:v>
      </x:c>
      <x:c r="H410" s="9" t="str">
        <x:v>OpenStax Biology 2e, 42 The Immune System</x:v>
      </x:c>
      <x:c r="I410" s="9" t="str">
        <x:v>https://openstax.org/books/biology-2e/pages/42-introduction</x:v>
      </x:c>
      <x:c r="J410" s="9" t="str">
        <x:v>Verified</x:v>
      </x:c>
    </x:row>
    <x:row r="411" ht="42" customHeight="1">
      <x:c r="A411" s="8" t="str">
        <x:v>C3.2-13</x:v>
      </x:c>
      <x:c r="B411" s="8" t="str">
        <x:v>C3.2</x:v>
      </x:c>
      <x:c r="C411" s="9" t="str">
        <x:v>Interaction and interdependence</x:v>
      </x:c>
      <x:c r="D411" s="9" t="str">
        <x:v>Defence against disease</x:v>
      </x:c>
      <x:c r="E411" s="9" t="str">
        <x:v>SL/HL</x:v>
      </x:c>
      <x:c r="F411" s="9" t="str">
        <x:v>Inflammation</x:v>
      </x:c>
      <x:c r="G411" s="9" t="str">
        <x:v>A localized innate response that increases blood flow, vascular permeability, and immune-cell recruitment.</x:v>
      </x:c>
      <x:c r="H411" s="9" t="str">
        <x:v>OpenStax Biology 2e, 42 The Immune System</x:v>
      </x:c>
      <x:c r="I411" s="9" t="str">
        <x:v>https://openstax.org/books/biology-2e/pages/42-introduction</x:v>
      </x:c>
      <x:c r="J411" s="9" t="str">
        <x:v>Verified</x:v>
      </x:c>
    </x:row>
    <x:row r="412" ht="42" customHeight="1">
      <x:c r="A412" s="8" t="str">
        <x:v>C3.2-14</x:v>
      </x:c>
      <x:c r="B412" s="8" t="str">
        <x:v>C3.2</x:v>
      </x:c>
      <x:c r="C412" s="9" t="str">
        <x:v>Interaction and interdependence</x:v>
      </x:c>
      <x:c r="D412" s="9" t="str">
        <x:v>Defence against disease</x:v>
      </x:c>
      <x:c r="E412" s="9" t="str">
        <x:v>SL/HL</x:v>
      </x:c>
      <x:c r="F412" s="9" t="str">
        <x:v>Complement system</x:v>
      </x:c>
      <x:c r="G412" s="9" t="str">
        <x:v>A group of plasma proteins that enhances inflammation, phagocytosis, and destruction of microbes when activated.</x:v>
      </x:c>
      <x:c r="H412" s="9" t="str">
        <x:v>OpenStax Biology 2e, 42 The Immune System</x:v>
      </x:c>
      <x:c r="I412" s="9" t="str">
        <x:v>https://openstax.org/books/biology-2e/pages/42-introduction</x:v>
      </x:c>
      <x:c r="J412" s="9" t="str">
        <x:v>Verified</x:v>
      </x:c>
    </x:row>
    <x:row r="413" ht="42" customHeight="1">
      <x:c r="A413" s="8" t="str">
        <x:v>C3.2-15</x:v>
      </x:c>
      <x:c r="B413" s="8" t="str">
        <x:v>C3.2</x:v>
      </x:c>
      <x:c r="C413" s="9" t="str">
        <x:v>Interaction and interdependence</x:v>
      </x:c>
      <x:c r="D413" s="9" t="str">
        <x:v>Defence against disease</x:v>
      </x:c>
      <x:c r="E413" s="9" t="str">
        <x:v>SL/HL</x:v>
      </x:c>
      <x:c r="F413" s="9" t="str">
        <x:v>Clonal selection</x:v>
      </x:c>
      <x:c r="G413" s="9" t="str">
        <x:v>Activation and proliferation of lymphocytes whose receptors bind a particular antigen.</x:v>
      </x:c>
      <x:c r="H413" s="9" t="str">
        <x:v>OpenStax Biology 2e, 42 The Immune System</x:v>
      </x:c>
      <x:c r="I413" s="9" t="str">
        <x:v>https://openstax.org/books/biology-2e/pages/42-introduction</x:v>
      </x:c>
      <x:c r="J413" s="9" t="str">
        <x:v>Verified</x:v>
      </x:c>
    </x:row>
    <x:row r="414" ht="42" customHeight="1">
      <x:c r="A414" s="8" t="str">
        <x:v>C3.2-16</x:v>
      </x:c>
      <x:c r="B414" s="8" t="str">
        <x:v>C3.2</x:v>
      </x:c>
      <x:c r="C414" s="9" t="str">
        <x:v>Interaction and interdependence</x:v>
      </x:c>
      <x:c r="D414" s="9" t="str">
        <x:v>Defence against disease</x:v>
      </x:c>
      <x:c r="E414" s="9" t="str">
        <x:v>SL/HL</x:v>
      </x:c>
      <x:c r="F414" s="9" t="str">
        <x:v>Vaccination</x:v>
      </x:c>
      <x:c r="G414" s="9" t="str">
        <x:v>Deliberate antigen exposure that induces protective adaptive immunity without causing the full disease.</x:v>
      </x:c>
      <x:c r="H414" s="9" t="str">
        <x:v>OpenStax Biology 2e, 42 The Immune System</x:v>
      </x:c>
      <x:c r="I414" s="9" t="str">
        <x:v>https://openstax.org/books/biology-2e/pages/42-introduction</x:v>
      </x:c>
      <x:c r="J414" s="9" t="str">
        <x:v>Verified</x:v>
      </x:c>
    </x:row>
    <x:row r="415" ht="42" customHeight="1">
      <x:c r="A415" s="8" t="str">
        <x:v>C3.2-17</x:v>
      </x:c>
      <x:c r="B415" s="8" t="str">
        <x:v>C3.2</x:v>
      </x:c>
      <x:c r="C415" s="9" t="str">
        <x:v>Interaction and interdependence</x:v>
      </x:c>
      <x:c r="D415" s="9" t="str">
        <x:v>Defence against disease</x:v>
      </x:c>
      <x:c r="E415" s="9" t="str">
        <x:v>SL/HL</x:v>
      </x:c>
      <x:c r="F415" s="9" t="str">
        <x:v>Herd immunity</x:v>
      </x:c>
      <x:c r="G415" s="9" t="str">
        <x:v>Indirect protection that occurs when enough individuals are immune to reduce pathogen transmission.</x:v>
      </x:c>
      <x:c r="H415" s="9" t="str">
        <x:v>OpenStax Biology 2e, 42 The Immune System</x:v>
      </x:c>
      <x:c r="I415" s="9" t="str">
        <x:v>https://openstax.org/books/biology-2e/pages/42-introduction</x:v>
      </x:c>
      <x:c r="J415" s="9" t="str">
        <x:v>Verified</x:v>
      </x:c>
    </x:row>
    <x:row r="416" ht="42" customHeight="1">
      <x:c r="A416" s="8" t="str">
        <x:v>C3.2-18</x:v>
      </x:c>
      <x:c r="B416" s="8" t="str">
        <x:v>C3.2</x:v>
      </x:c>
      <x:c r="C416" s="9" t="str">
        <x:v>Interaction and interdependence</x:v>
      </x:c>
      <x:c r="D416" s="9" t="str">
        <x:v>Defence against disease</x:v>
      </x:c>
      <x:c r="E416" s="9" t="str">
        <x:v>SL/HL</x:v>
      </x:c>
      <x:c r="F416" s="9" t="str">
        <x:v>Primary immune response</x:v>
      </x:c>
      <x:c r="G416" s="9" t="str">
        <x:v>The slower adaptive response following first exposure to a specific antigen.</x:v>
      </x:c>
      <x:c r="H416" s="9" t="str">
        <x:v>OpenStax Biology 2e, 42 The Immune System</x:v>
      </x:c>
      <x:c r="I416" s="9" t="str">
        <x:v>https://openstax.org/books/biology-2e/pages/42-introduction</x:v>
      </x:c>
      <x:c r="J416" s="9" t="str">
        <x:v>Verified</x:v>
      </x:c>
    </x:row>
    <x:row r="417" ht="42" customHeight="1">
      <x:c r="A417" s="8" t="str">
        <x:v>C3.2-19</x:v>
      </x:c>
      <x:c r="B417" s="8" t="str">
        <x:v>C3.2</x:v>
      </x:c>
      <x:c r="C417" s="9" t="str">
        <x:v>Interaction and interdependence</x:v>
      </x:c>
      <x:c r="D417" s="9" t="str">
        <x:v>Defence against disease</x:v>
      </x:c>
      <x:c r="E417" s="9" t="str">
        <x:v>SL/HL</x:v>
      </x:c>
      <x:c r="F417" s="9" t="str">
        <x:v>Secondary immune response</x:v>
      </x:c>
      <x:c r="G417" s="9" t="str">
        <x:v>The faster and usually stronger response following later exposure to the same antigen.</x:v>
      </x:c>
      <x:c r="H417" s="9" t="str">
        <x:v>OpenStax Biology 2e, 42 The Immune System</x:v>
      </x:c>
      <x:c r="I417" s="9" t="str">
        <x:v>https://openstax.org/books/biology-2e/pages/42-introduction</x:v>
      </x:c>
      <x:c r="J417" s="9" t="str">
        <x:v>Verified</x:v>
      </x:c>
    </x:row>
    <x:row r="418" ht="42" customHeight="1">
      <x:c r="A418" s="8" t="str">
        <x:v>C4.1-01</x:v>
      </x:c>
      <x:c r="B418" s="8" t="str">
        <x:v>C4.1</x:v>
      </x:c>
      <x:c r="C418" s="9" t="str">
        <x:v>Interaction and interdependence</x:v>
      </x:c>
      <x:c r="D418" s="9" t="str">
        <x:v>Populations and communities</x:v>
      </x:c>
      <x:c r="E418" s="9" t="str">
        <x:v>SL/HL</x:v>
      </x:c>
      <x:c r="F418" s="9" t="str">
        <x:v>Population</x:v>
      </x:c>
      <x:c r="G418" s="9" t="str">
        <x:v>Members of the same species living in the same area at the same time.</x:v>
      </x:c>
      <x:c r="H418" s="9" t="str">
        <x:v>OpenStax Biology 2e, 45 Population and Community Ecology</x:v>
      </x:c>
      <x:c r="I418" s="9" t="str">
        <x:v>https://openstax.org/books/biology-2e/pages/45-introduction</x:v>
      </x:c>
      <x:c r="J418" s="9" t="str">
        <x:v>Verified</x:v>
      </x:c>
    </x:row>
    <x:row r="419" ht="42" customHeight="1">
      <x:c r="A419" s="8" t="str">
        <x:v>C4.1-02</x:v>
      </x:c>
      <x:c r="B419" s="8" t="str">
        <x:v>C4.1</x:v>
      </x:c>
      <x:c r="C419" s="9" t="str">
        <x:v>Interaction and interdependence</x:v>
      </x:c>
      <x:c r="D419" s="9" t="str">
        <x:v>Populations and communities</x:v>
      </x:c>
      <x:c r="E419" s="9" t="str">
        <x:v>SL/HL</x:v>
      </x:c>
      <x:c r="F419" s="9" t="str">
        <x:v>Community</x:v>
      </x:c>
      <x:c r="G419" s="9" t="str">
        <x:v>All populations of different species interacting within a defined area.</x:v>
      </x:c>
      <x:c r="H419" s="9" t="str">
        <x:v>OpenStax Biology 2e, 45 Population and Community Ecology</x:v>
      </x:c>
      <x:c r="I419" s="9" t="str">
        <x:v>https://openstax.org/books/biology-2e/pages/45-introduction</x:v>
      </x:c>
      <x:c r="J419" s="9" t="str">
        <x:v>Verified</x:v>
      </x:c>
    </x:row>
    <x:row r="420" ht="42" customHeight="1">
      <x:c r="A420" s="8" t="str">
        <x:v>C4.1-03</x:v>
      </x:c>
      <x:c r="B420" s="8" t="str">
        <x:v>C4.1</x:v>
      </x:c>
      <x:c r="C420" s="9" t="str">
        <x:v>Interaction and interdependence</x:v>
      </x:c>
      <x:c r="D420" s="9" t="str">
        <x:v>Populations and communities</x:v>
      </x:c>
      <x:c r="E420" s="9" t="str">
        <x:v>SL/HL</x:v>
      </x:c>
      <x:c r="F420" s="9" t="str">
        <x:v>Population density</x:v>
      </x:c>
      <x:c r="G420" s="9" t="str">
        <x:v>The number of individuals of a species per unit area or volume.</x:v>
      </x:c>
      <x:c r="H420" s="9" t="str">
        <x:v>OpenStax Biology 2e, 45 Population and Community Ecology</x:v>
      </x:c>
      <x:c r="I420" s="9" t="str">
        <x:v>https://openstax.org/books/biology-2e/pages/45-introduction</x:v>
      </x:c>
      <x:c r="J420" s="9" t="str">
        <x:v>Verified</x:v>
      </x:c>
    </x:row>
    <x:row r="421" ht="42" customHeight="1">
      <x:c r="A421" s="8" t="str">
        <x:v>C4.1-04</x:v>
      </x:c>
      <x:c r="B421" s="8" t="str">
        <x:v>C4.1</x:v>
      </x:c>
      <x:c r="C421" s="9" t="str">
        <x:v>Interaction and interdependence</x:v>
      </x:c>
      <x:c r="D421" s="9" t="str">
        <x:v>Populations and communities</x:v>
      </x:c>
      <x:c r="E421" s="9" t="str">
        <x:v>SL/HL</x:v>
      </x:c>
      <x:c r="F421" s="9" t="str">
        <x:v>Carrying capacity</x:v>
      </x:c>
      <x:c r="G421" s="9" t="str">
        <x:v>The largest population size an environment can sustain over time under stated conditions.</x:v>
      </x:c>
      <x:c r="H421" s="9" t="str">
        <x:v>OpenStax Biology 2e, 45 Population and Community Ecology</x:v>
      </x:c>
      <x:c r="I421" s="9" t="str">
        <x:v>https://openstax.org/books/biology-2e/pages/45-introduction</x:v>
      </x:c>
      <x:c r="J421" s="9" t="str">
        <x:v>Verified</x:v>
      </x:c>
    </x:row>
    <x:row r="422" ht="42" customHeight="1">
      <x:c r="A422" s="8" t="str">
        <x:v>C4.1-05</x:v>
      </x:c>
      <x:c r="B422" s="8" t="str">
        <x:v>C4.1</x:v>
      </x:c>
      <x:c r="C422" s="9" t="str">
        <x:v>Interaction and interdependence</x:v>
      </x:c>
      <x:c r="D422" s="9" t="str">
        <x:v>Populations and communities</x:v>
      </x:c>
      <x:c r="E422" s="9" t="str">
        <x:v>SL/HL</x:v>
      </x:c>
      <x:c r="F422" s="9" t="str">
        <x:v>Exponential growth</x:v>
      </x:c>
      <x:c r="G422" s="9" t="str">
        <x:v>Population increase at a constant per-capita rate, producing a J-shaped curve under unlimited conditions.</x:v>
      </x:c>
      <x:c r="H422" s="9" t="str">
        <x:v>OpenStax Biology 2e, 45 Population and Community Ecology</x:v>
      </x:c>
      <x:c r="I422" s="9" t="str">
        <x:v>https://openstax.org/books/biology-2e/pages/45-introduction</x:v>
      </x:c>
      <x:c r="J422" s="9" t="str">
        <x:v>Verified</x:v>
      </x:c>
    </x:row>
    <x:row r="423" ht="42" customHeight="1">
      <x:c r="A423" s="8" t="str">
        <x:v>C4.1-06</x:v>
      </x:c>
      <x:c r="B423" s="8" t="str">
        <x:v>C4.1</x:v>
      </x:c>
      <x:c r="C423" s="9" t="str">
        <x:v>Interaction and interdependence</x:v>
      </x:c>
      <x:c r="D423" s="9" t="str">
        <x:v>Populations and communities</x:v>
      </x:c>
      <x:c r="E423" s="9" t="str">
        <x:v>SL/HL</x:v>
      </x:c>
      <x:c r="F423" s="9" t="str">
        <x:v>Logistic growth</x:v>
      </x:c>
      <x:c r="G423" s="9" t="str">
        <x:v>Population growth that slows as density approaches carrying capacity, producing an S-shaped curve.</x:v>
      </x:c>
      <x:c r="H423" s="9" t="str">
        <x:v>OpenStax Biology 2e, 45 Population and Community Ecology</x:v>
      </x:c>
      <x:c r="I423" s="9" t="str">
        <x:v>https://openstax.org/books/biology-2e/pages/45-introduction</x:v>
      </x:c>
      <x:c r="J423" s="9" t="str">
        <x:v>Verified</x:v>
      </x:c>
    </x:row>
    <x:row r="424" ht="42" customHeight="1">
      <x:c r="A424" s="8" t="str">
        <x:v>C4.1-07</x:v>
      </x:c>
      <x:c r="B424" s="8" t="str">
        <x:v>C4.1</x:v>
      </x:c>
      <x:c r="C424" s="9" t="str">
        <x:v>Interaction and interdependence</x:v>
      </x:c>
      <x:c r="D424" s="9" t="str">
        <x:v>Populations and communities</x:v>
      </x:c>
      <x:c r="E424" s="9" t="str">
        <x:v>SL/HL</x:v>
      </x:c>
      <x:c r="F424" s="9" t="str">
        <x:v>Density-dependent factor</x:v>
      </x:c>
      <x:c r="G424" s="9" t="str">
        <x:v>A population influence whose effect changes with population density, such as competition or disease.</x:v>
      </x:c>
      <x:c r="H424" s="9" t="str">
        <x:v>OpenStax Biology 2e, 45 Population and Community Ecology</x:v>
      </x:c>
      <x:c r="I424" s="9" t="str">
        <x:v>https://openstax.org/books/biology-2e/pages/45-introduction</x:v>
      </x:c>
      <x:c r="J424" s="9" t="str">
        <x:v>Verified</x:v>
      </x:c>
    </x:row>
    <x:row r="425" ht="42" customHeight="1">
      <x:c r="A425" s="8" t="str">
        <x:v>C4.1-08</x:v>
      </x:c>
      <x:c r="B425" s="8" t="str">
        <x:v>C4.1</x:v>
      </x:c>
      <x:c r="C425" s="9" t="str">
        <x:v>Interaction and interdependence</x:v>
      </x:c>
      <x:c r="D425" s="9" t="str">
        <x:v>Populations and communities</x:v>
      </x:c>
      <x:c r="E425" s="9" t="str">
        <x:v>SL/HL</x:v>
      </x:c>
      <x:c r="F425" s="9" t="str">
        <x:v>Density-independent factor</x:v>
      </x:c>
      <x:c r="G425" s="9" t="str">
        <x:v>A population influence whose effect is not determined by population density, such as a severe storm.</x:v>
      </x:c>
      <x:c r="H425" s="9" t="str">
        <x:v>OpenStax Biology 2e, 45 Population and Community Ecology</x:v>
      </x:c>
      <x:c r="I425" s="9" t="str">
        <x:v>https://openstax.org/books/biology-2e/pages/45-introduction</x:v>
      </x:c>
      <x:c r="J425" s="9" t="str">
        <x:v>Verified</x:v>
      </x:c>
    </x:row>
    <x:row r="426" ht="42" customHeight="1">
      <x:c r="A426" s="8" t="str">
        <x:v>C4.1-09</x:v>
      </x:c>
      <x:c r="B426" s="8" t="str">
        <x:v>C4.1</x:v>
      </x:c>
      <x:c r="C426" s="9" t="str">
        <x:v>Interaction and interdependence</x:v>
      </x:c>
      <x:c r="D426" s="9" t="str">
        <x:v>Populations and communities</x:v>
      </x:c>
      <x:c r="E426" s="9" t="str">
        <x:v>SL/HL</x:v>
      </x:c>
      <x:c r="F426" s="9" t="str">
        <x:v>Natality</x:v>
      </x:c>
      <x:c r="G426" s="9" t="str">
        <x:v>The rate at which births add individuals to a population.</x:v>
      </x:c>
      <x:c r="H426" s="9" t="str">
        <x:v>OpenStax Biology 2e, 45 Population and Community Ecology</x:v>
      </x:c>
      <x:c r="I426" s="9" t="str">
        <x:v>https://openstax.org/books/biology-2e/pages/45-introduction</x:v>
      </x:c>
      <x:c r="J426" s="9" t="str">
        <x:v>Verified</x:v>
      </x:c>
    </x:row>
    <x:row r="427" ht="42" customHeight="1">
      <x:c r="A427" s="8" t="str">
        <x:v>C4.1-10</x:v>
      </x:c>
      <x:c r="B427" s="8" t="str">
        <x:v>C4.1</x:v>
      </x:c>
      <x:c r="C427" s="9" t="str">
        <x:v>Interaction and interdependence</x:v>
      </x:c>
      <x:c r="D427" s="9" t="str">
        <x:v>Populations and communities</x:v>
      </x:c>
      <x:c r="E427" s="9" t="str">
        <x:v>SL/HL</x:v>
      </x:c>
      <x:c r="F427" s="9" t="str">
        <x:v>Mortality</x:v>
      </x:c>
      <x:c r="G427" s="9" t="str">
        <x:v>The rate at which deaths remove individuals from a population.</x:v>
      </x:c>
      <x:c r="H427" s="9" t="str">
        <x:v>OpenStax Biology 2e, 45 Population and Community Ecology</x:v>
      </x:c>
      <x:c r="I427" s="9" t="str">
        <x:v>https://openstax.org/books/biology-2e/pages/45-introduction</x:v>
      </x:c>
      <x:c r="J427" s="9" t="str">
        <x:v>Verified</x:v>
      </x:c>
    </x:row>
    <x:row r="428" ht="42" customHeight="1">
      <x:c r="A428" s="8" t="str">
        <x:v>C4.1-11</x:v>
      </x:c>
      <x:c r="B428" s="8" t="str">
        <x:v>C4.1</x:v>
      </x:c>
      <x:c r="C428" s="9" t="str">
        <x:v>Interaction and interdependence</x:v>
      </x:c>
      <x:c r="D428" s="9" t="str">
        <x:v>Populations and communities</x:v>
      </x:c>
      <x:c r="E428" s="9" t="str">
        <x:v>SL/HL</x:v>
      </x:c>
      <x:c r="F428" s="9" t="str">
        <x:v>Immigration</x:v>
      </x:c>
      <x:c r="G428" s="9" t="str">
        <x:v>Movement of individuals into a population from another location.</x:v>
      </x:c>
      <x:c r="H428" s="9" t="str">
        <x:v>OpenStax Biology 2e, 45 Population and Community Ecology</x:v>
      </x:c>
      <x:c r="I428" s="9" t="str">
        <x:v>https://openstax.org/books/biology-2e/pages/45-introduction</x:v>
      </x:c>
      <x:c r="J428" s="9" t="str">
        <x:v>Verified</x:v>
      </x:c>
    </x:row>
    <x:row r="429" ht="42" customHeight="1">
      <x:c r="A429" s="8" t="str">
        <x:v>C4.1-12</x:v>
      </x:c>
      <x:c r="B429" s="8" t="str">
        <x:v>C4.1</x:v>
      </x:c>
      <x:c r="C429" s="9" t="str">
        <x:v>Interaction and interdependence</x:v>
      </x:c>
      <x:c r="D429" s="9" t="str">
        <x:v>Populations and communities</x:v>
      </x:c>
      <x:c r="E429" s="9" t="str">
        <x:v>SL/HL</x:v>
      </x:c>
      <x:c r="F429" s="9" t="str">
        <x:v>Emigration</x:v>
      </x:c>
      <x:c r="G429" s="9" t="str">
        <x:v>Movement of individuals out of a population to another location.</x:v>
      </x:c>
      <x:c r="H429" s="9" t="str">
        <x:v>OpenStax Biology 2e, 45 Population and Community Ecology</x:v>
      </x:c>
      <x:c r="I429" s="9" t="str">
        <x:v>https://openstax.org/books/biology-2e/pages/45-introduction</x:v>
      </x:c>
      <x:c r="J429" s="9" t="str">
        <x:v>Verified</x:v>
      </x:c>
    </x:row>
    <x:row r="430" ht="42" customHeight="1">
      <x:c r="A430" s="8" t="str">
        <x:v>C4.1-13</x:v>
      </x:c>
      <x:c r="B430" s="8" t="str">
        <x:v>C4.1</x:v>
      </x:c>
      <x:c r="C430" s="9" t="str">
        <x:v>Interaction and interdependence</x:v>
      </x:c>
      <x:c r="D430" s="9" t="str">
        <x:v>Populations and communities</x:v>
      </x:c>
      <x:c r="E430" s="9" t="str">
        <x:v>SL/HL</x:v>
      </x:c>
      <x:c r="F430" s="9" t="str">
        <x:v>Quadrat sampling</x:v>
      </x:c>
      <x:c r="G430" s="9" t="str">
        <x:v>Estimation of abundance or distribution using counts within defined sample areas.</x:v>
      </x:c>
      <x:c r="H430" s="9" t="str">
        <x:v>OpenStax Biology 2e, 45 Population and Community Ecology</x:v>
      </x:c>
      <x:c r="I430" s="9" t="str">
        <x:v>https://openstax.org/books/biology-2e/pages/45-introduction</x:v>
      </x:c>
      <x:c r="J430" s="9" t="str">
        <x:v>Verified</x:v>
      </x:c>
    </x:row>
    <x:row r="431" ht="42" customHeight="1">
      <x:c r="A431" s="8" t="str">
        <x:v>C4.1-14</x:v>
      </x:c>
      <x:c r="B431" s="8" t="str">
        <x:v>C4.1</x:v>
      </x:c>
      <x:c r="C431" s="9" t="str">
        <x:v>Interaction and interdependence</x:v>
      </x:c>
      <x:c r="D431" s="9" t="str">
        <x:v>Populations and communities</x:v>
      </x:c>
      <x:c r="E431" s="9" t="str">
        <x:v>SL/HL</x:v>
      </x:c>
      <x:c r="F431" s="9" t="str">
        <x:v>Transect</x:v>
      </x:c>
      <x:c r="G431" s="9" t="str">
        <x:v>A line or belt along which organisms or environmental variables are sampled systematically.</x:v>
      </x:c>
      <x:c r="H431" s="9" t="str">
        <x:v>OpenStax Biology 2e, 45 Population and Community Ecology</x:v>
      </x:c>
      <x:c r="I431" s="9" t="str">
        <x:v>https://openstax.org/books/biology-2e/pages/45-introduction</x:v>
      </x:c>
      <x:c r="J431" s="9" t="str">
        <x:v>Verified</x:v>
      </x:c>
    </x:row>
    <x:row r="432" ht="42" customHeight="1">
      <x:c r="A432" s="8" t="str">
        <x:v>C4.1-15</x:v>
      </x:c>
      <x:c r="B432" s="8" t="str">
        <x:v>C4.1</x:v>
      </x:c>
      <x:c r="C432" s="9" t="str">
        <x:v>Interaction and interdependence</x:v>
      </x:c>
      <x:c r="D432" s="9" t="str">
        <x:v>Populations and communities</x:v>
      </x:c>
      <x:c r="E432" s="9" t="str">
        <x:v>SL/HL</x:v>
      </x:c>
      <x:c r="F432" s="9" t="str">
        <x:v>Mark–release–recapture</x:v>
      </x:c>
      <x:c r="G432" s="9" t="str">
        <x:v>Population estimation by marking an initial sample and measuring marked individuals in a later sample.</x:v>
      </x:c>
      <x:c r="H432" s="9" t="str">
        <x:v>OpenStax Biology 2e, 45 Population and Community Ecology</x:v>
      </x:c>
      <x:c r="I432" s="9" t="str">
        <x:v>https://openstax.org/books/biology-2e/pages/45-introduction</x:v>
      </x:c>
      <x:c r="J432" s="9" t="str">
        <x:v>Verified</x:v>
      </x:c>
    </x:row>
    <x:row r="433" ht="42" customHeight="1">
      <x:c r="A433" s="8" t="str">
        <x:v>C4.1-16</x:v>
      </x:c>
      <x:c r="B433" s="8" t="str">
        <x:v>C4.1</x:v>
      </x:c>
      <x:c r="C433" s="9" t="str">
        <x:v>Interaction and interdependence</x:v>
      </x:c>
      <x:c r="D433" s="9" t="str">
        <x:v>Populations and communities</x:v>
      </x:c>
      <x:c r="E433" s="9" t="str">
        <x:v>SL/HL</x:v>
      </x:c>
      <x:c r="F433" s="9" t="str">
        <x:v>Random sampling</x:v>
      </x:c>
      <x:c r="G433" s="9" t="str">
        <x:v>Selection in which every eligible location or individual has a known, unbiased chance of inclusion.</x:v>
      </x:c>
      <x:c r="H433" s="9" t="str">
        <x:v>OpenStax Biology 2e, 45 Population and Community Ecology</x:v>
      </x:c>
      <x:c r="I433" s="9" t="str">
        <x:v>https://openstax.org/books/biology-2e/pages/45-introduction</x:v>
      </x:c>
      <x:c r="J433" s="9" t="str">
        <x:v>Verified</x:v>
      </x:c>
    </x:row>
    <x:row r="434" ht="42" customHeight="1">
      <x:c r="A434" s="8" t="str">
        <x:v>C4.1-17</x:v>
      </x:c>
      <x:c r="B434" s="8" t="str">
        <x:v>C4.1</x:v>
      </x:c>
      <x:c r="C434" s="9" t="str">
        <x:v>Interaction and interdependence</x:v>
      </x:c>
      <x:c r="D434" s="9" t="str">
        <x:v>Populations and communities</x:v>
      </x:c>
      <x:c r="E434" s="9" t="str">
        <x:v>SL/HL</x:v>
      </x:c>
      <x:c r="F434" s="9" t="str">
        <x:v>Ecological succession</x:v>
      </x:c>
      <x:c r="G434" s="9" t="str">
        <x:v>Directional change in community composition and ecosystem structure over time.</x:v>
      </x:c>
      <x:c r="H434" s="9" t="str">
        <x:v>OpenStax Biology 2e, 45 Population and Community Ecology</x:v>
      </x:c>
      <x:c r="I434" s="9" t="str">
        <x:v>https://openstax.org/books/biology-2e/pages/45-introduction</x:v>
      </x:c>
      <x:c r="J434" s="9" t="str">
        <x:v>Verified</x:v>
      </x:c>
    </x:row>
    <x:row r="435" ht="42" customHeight="1">
      <x:c r="A435" s="8" t="str">
        <x:v>C4.1-18</x:v>
      </x:c>
      <x:c r="B435" s="8" t="str">
        <x:v>C4.1</x:v>
      </x:c>
      <x:c r="C435" s="9" t="str">
        <x:v>Interaction and interdependence</x:v>
      </x:c>
      <x:c r="D435" s="9" t="str">
        <x:v>Populations and communities</x:v>
      </x:c>
      <x:c r="E435" s="9" t="str">
        <x:v>SL/HL</x:v>
      </x:c>
      <x:c r="F435" s="9" t="str">
        <x:v>Pioneer species</x:v>
      </x:c>
      <x:c r="G435" s="9" t="str">
        <x:v>An early colonist able to establish in a bare or recently disturbed habitat.</x:v>
      </x:c>
      <x:c r="H435" s="9" t="str">
        <x:v>OpenStax Biology 2e, 45 Population and Community Ecology</x:v>
      </x:c>
      <x:c r="I435" s="9" t="str">
        <x:v>https://openstax.org/books/biology-2e/pages/45-introduction</x:v>
      </x:c>
      <x:c r="J435" s="9" t="str">
        <x:v>Verified</x:v>
      </x:c>
    </x:row>
    <x:row r="436" ht="42" customHeight="1">
      <x:c r="A436" s="8" t="str">
        <x:v>C4.2-01</x:v>
      </x:c>
      <x:c r="B436" s="8" t="str">
        <x:v>C4.2</x:v>
      </x:c>
      <x:c r="C436" s="9" t="str">
        <x:v>Interaction and interdependence</x:v>
      </x:c>
      <x:c r="D436" s="9" t="str">
        <x:v>Transfer of energy and matter</x:v>
      </x:c>
      <x:c r="E436" s="9" t="str">
        <x:v>SL/HL</x:v>
      </x:c>
      <x:c r="F436" s="9" t="str">
        <x:v>Ecosystem</x:v>
      </x:c>
      <x:c r="G436" s="9" t="str">
        <x:v>A biological community together with the non-living environment with which it exchanges energy and matter.</x:v>
      </x:c>
      <x:c r="H436" s="9" t="str">
        <x:v>OpenStax Biology 2e, 46 Ecosystems</x:v>
      </x:c>
      <x:c r="I436" s="9" t="str">
        <x:v>https://openstax.org/books/biology-2e/pages/46-introduction</x:v>
      </x:c>
      <x:c r="J436" s="9" t="str">
        <x:v>Verified</x:v>
      </x:c>
    </x:row>
    <x:row r="437" ht="42" customHeight="1">
      <x:c r="A437" s="8" t="str">
        <x:v>C4.2-02</x:v>
      </x:c>
      <x:c r="B437" s="8" t="str">
        <x:v>C4.2</x:v>
      </x:c>
      <x:c r="C437" s="9" t="str">
        <x:v>Interaction and interdependence</x:v>
      </x:c>
      <x:c r="D437" s="9" t="str">
        <x:v>Transfer of energy and matter</x:v>
      </x:c>
      <x:c r="E437" s="9" t="str">
        <x:v>SL/HL</x:v>
      </x:c>
      <x:c r="F437" s="9" t="str">
        <x:v>Trophic level</x:v>
      </x:c>
      <x:c r="G437" s="9" t="str">
        <x:v>A feeding position in a food chain or food web.</x:v>
      </x:c>
      <x:c r="H437" s="9" t="str">
        <x:v>OpenStax Biology 2e, 46 Ecosystems</x:v>
      </x:c>
      <x:c r="I437" s="9" t="str">
        <x:v>https://openstax.org/books/biology-2e/pages/46-introduction</x:v>
      </x:c>
      <x:c r="J437" s="9" t="str">
        <x:v>Verified</x:v>
      </x:c>
    </x:row>
    <x:row r="438" ht="42" customHeight="1">
      <x:c r="A438" s="8" t="str">
        <x:v>C4.2-03</x:v>
      </x:c>
      <x:c r="B438" s="8" t="str">
        <x:v>C4.2</x:v>
      </x:c>
      <x:c r="C438" s="9" t="str">
        <x:v>Interaction and interdependence</x:v>
      </x:c>
      <x:c r="D438" s="9" t="str">
        <x:v>Transfer of energy and matter</x:v>
      </x:c>
      <x:c r="E438" s="9" t="str">
        <x:v>SL/HL</x:v>
      </x:c>
      <x:c r="F438" s="9" t="str">
        <x:v>Producer</x:v>
      </x:c>
      <x:c r="G438" s="9" t="str">
        <x:v>An autotroph that builds organic compounds from inorganic carbon using light or chemical energy.</x:v>
      </x:c>
      <x:c r="H438" s="9" t="str">
        <x:v>OpenStax Biology 2e, 46 Ecosystems</x:v>
      </x:c>
      <x:c r="I438" s="9" t="str">
        <x:v>https://openstax.org/books/biology-2e/pages/46-introduction</x:v>
      </x:c>
      <x:c r="J438" s="9" t="str">
        <x:v>Verified</x:v>
      </x:c>
    </x:row>
    <x:row r="439" ht="42" customHeight="1">
      <x:c r="A439" s="8" t="str">
        <x:v>C4.2-04</x:v>
      </x:c>
      <x:c r="B439" s="8" t="str">
        <x:v>C4.2</x:v>
      </x:c>
      <x:c r="C439" s="9" t="str">
        <x:v>Interaction and interdependence</x:v>
      </x:c>
      <x:c r="D439" s="9" t="str">
        <x:v>Transfer of energy and matter</x:v>
      </x:c>
      <x:c r="E439" s="9" t="str">
        <x:v>SL/HL</x:v>
      </x:c>
      <x:c r="F439" s="9" t="str">
        <x:v>Consumer</x:v>
      </x:c>
      <x:c r="G439" s="9" t="str">
        <x:v>An organism that obtains energy and carbon by feeding on other organisms or their products.</x:v>
      </x:c>
      <x:c r="H439" s="9" t="str">
        <x:v>OpenStax Biology 2e, 46 Ecosystems</x:v>
      </x:c>
      <x:c r="I439" s="9" t="str">
        <x:v>https://openstax.org/books/biology-2e/pages/46-introduction</x:v>
      </x:c>
      <x:c r="J439" s="9" t="str">
        <x:v>Verified</x:v>
      </x:c>
    </x:row>
    <x:row r="440" ht="42" customHeight="1">
      <x:c r="A440" s="8" t="str">
        <x:v>C4.2-05</x:v>
      </x:c>
      <x:c r="B440" s="8" t="str">
        <x:v>C4.2</x:v>
      </x:c>
      <x:c r="C440" s="9" t="str">
        <x:v>Interaction and interdependence</x:v>
      </x:c>
      <x:c r="D440" s="9" t="str">
        <x:v>Transfer of energy and matter</x:v>
      </x:c>
      <x:c r="E440" s="9" t="str">
        <x:v>SL/HL</x:v>
      </x:c>
      <x:c r="F440" s="9" t="str">
        <x:v>Decomposer</x:v>
      </x:c>
      <x:c r="G440" s="9" t="str">
        <x:v>An organism, chiefly a bacterium or fungus, that externally digests dead organic matter and absorbs products.</x:v>
      </x:c>
      <x:c r="H440" s="9" t="str">
        <x:v>OpenStax Biology 2e, 46 Ecosystems</x:v>
      </x:c>
      <x:c r="I440" s="9" t="str">
        <x:v>https://openstax.org/books/biology-2e/pages/46-introduction</x:v>
      </x:c>
      <x:c r="J440" s="9" t="str">
        <x:v>Verified</x:v>
      </x:c>
    </x:row>
    <x:row r="441" ht="42" customHeight="1">
      <x:c r="A441" s="8" t="str">
        <x:v>C4.2-06</x:v>
      </x:c>
      <x:c r="B441" s="8" t="str">
        <x:v>C4.2</x:v>
      </x:c>
      <x:c r="C441" s="9" t="str">
        <x:v>Interaction and interdependence</x:v>
      </x:c>
      <x:c r="D441" s="9" t="str">
        <x:v>Transfer of energy and matter</x:v>
      </x:c>
      <x:c r="E441" s="9" t="str">
        <x:v>SL/HL</x:v>
      </x:c>
      <x:c r="F441" s="9" t="str">
        <x:v>Detritivore</x:v>
      </x:c>
      <x:c r="G441" s="9" t="str">
        <x:v>An organism that ingests fragments of dead organic material and associated microbes.</x:v>
      </x:c>
      <x:c r="H441" s="9" t="str">
        <x:v>OpenStax Biology 2e, 46 Ecosystems</x:v>
      </x:c>
      <x:c r="I441" s="9" t="str">
        <x:v>https://openstax.org/books/biology-2e/pages/46-introduction</x:v>
      </x:c>
      <x:c r="J441" s="9" t="str">
        <x:v>Verified</x:v>
      </x:c>
    </x:row>
    <x:row r="442" ht="42" customHeight="1">
      <x:c r="A442" s="8" t="str">
        <x:v>C4.2-07</x:v>
      </x:c>
      <x:c r="B442" s="8" t="str">
        <x:v>C4.2</x:v>
      </x:c>
      <x:c r="C442" s="9" t="str">
        <x:v>Interaction and interdependence</x:v>
      </x:c>
      <x:c r="D442" s="9" t="str">
        <x:v>Transfer of energy and matter</x:v>
      </x:c>
      <x:c r="E442" s="9" t="str">
        <x:v>SL/HL</x:v>
      </x:c>
      <x:c r="F442" s="9" t="str">
        <x:v>Food chain</x:v>
      </x:c>
      <x:c r="G442" s="9" t="str">
        <x:v>A linear sequence showing transfers of biomass and energy through feeding.</x:v>
      </x:c>
      <x:c r="H442" s="9" t="str">
        <x:v>OpenStax Biology 2e, 46 Ecosystems</x:v>
      </x:c>
      <x:c r="I442" s="9" t="str">
        <x:v>https://openstax.org/books/biology-2e/pages/46-introduction</x:v>
      </x:c>
      <x:c r="J442" s="9" t="str">
        <x:v>Verified</x:v>
      </x:c>
    </x:row>
    <x:row r="443" ht="42" customHeight="1">
      <x:c r="A443" s="8" t="str">
        <x:v>C4.2-08</x:v>
      </x:c>
      <x:c r="B443" s="8" t="str">
        <x:v>C4.2</x:v>
      </x:c>
      <x:c r="C443" s="9" t="str">
        <x:v>Interaction and interdependence</x:v>
      </x:c>
      <x:c r="D443" s="9" t="str">
        <x:v>Transfer of energy and matter</x:v>
      </x:c>
      <x:c r="E443" s="9" t="str">
        <x:v>SL/HL</x:v>
      </x:c>
      <x:c r="F443" s="9" t="str">
        <x:v>Food web</x:v>
      </x:c>
      <x:c r="G443" s="9" t="str">
        <x:v>A network of interconnected feeding relationships in a community.</x:v>
      </x:c>
      <x:c r="H443" s="9" t="str">
        <x:v>OpenStax Biology 2e, 46 Ecosystems</x:v>
      </x:c>
      <x:c r="I443" s="9" t="str">
        <x:v>https://openstax.org/books/biology-2e/pages/46-introduction</x:v>
      </x:c>
      <x:c r="J443" s="9" t="str">
        <x:v>Verified</x:v>
      </x:c>
    </x:row>
    <x:row r="444" ht="42" customHeight="1">
      <x:c r="A444" s="8" t="str">
        <x:v>C4.2-09</x:v>
      </x:c>
      <x:c r="B444" s="8" t="str">
        <x:v>C4.2</x:v>
      </x:c>
      <x:c r="C444" s="9" t="str">
        <x:v>Interaction and interdependence</x:v>
      </x:c>
      <x:c r="D444" s="9" t="str">
        <x:v>Transfer of energy and matter</x:v>
      </x:c>
      <x:c r="E444" s="9" t="str">
        <x:v>SL/HL</x:v>
      </x:c>
      <x:c r="F444" s="9" t="str">
        <x:v>Pyramid of energy</x:v>
      </x:c>
      <x:c r="G444" s="9" t="str">
        <x:v>A scaled diagram showing energy flow through successive trophic levels per area and time.</x:v>
      </x:c>
      <x:c r="H444" s="9" t="str">
        <x:v>OpenStax Biology 2e, 46 Ecosystems</x:v>
      </x:c>
      <x:c r="I444" s="9" t="str">
        <x:v>https://openstax.org/books/biology-2e/pages/46-introduction</x:v>
      </x:c>
      <x:c r="J444" s="9" t="str">
        <x:v>Verified</x:v>
      </x:c>
    </x:row>
    <x:row r="445" ht="42" customHeight="1">
      <x:c r="A445" s="8" t="str">
        <x:v>C4.2-10</x:v>
      </x:c>
      <x:c r="B445" s="8" t="str">
        <x:v>C4.2</x:v>
      </x:c>
      <x:c r="C445" s="9" t="str">
        <x:v>Interaction and interdependence</x:v>
      </x:c>
      <x:c r="D445" s="9" t="str">
        <x:v>Transfer of energy and matter</x:v>
      </x:c>
      <x:c r="E445" s="9" t="str">
        <x:v>SL/HL</x:v>
      </x:c>
      <x:c r="F445" s="9" t="str">
        <x:v>Pyramid of biomass</x:v>
      </x:c>
      <x:c r="G445" s="9" t="str">
        <x:v>A scaled diagram showing dry organic mass at successive trophic levels for a stated area.</x:v>
      </x:c>
      <x:c r="H445" s="9" t="str">
        <x:v>OpenStax Biology 2e, 46 Ecosystems</x:v>
      </x:c>
      <x:c r="I445" s="9" t="str">
        <x:v>https://openstax.org/books/biology-2e/pages/46-introduction</x:v>
      </x:c>
      <x:c r="J445" s="9" t="str">
        <x:v>Verified</x:v>
      </x:c>
    </x:row>
    <x:row r="446" ht="42" customHeight="1">
      <x:c r="A446" s="8" t="str">
        <x:v>C4.2-11</x:v>
      </x:c>
      <x:c r="B446" s="8" t="str">
        <x:v>C4.2</x:v>
      </x:c>
      <x:c r="C446" s="9" t="str">
        <x:v>Interaction and interdependence</x:v>
      </x:c>
      <x:c r="D446" s="9" t="str">
        <x:v>Transfer of energy and matter</x:v>
      </x:c>
      <x:c r="E446" s="9" t="str">
        <x:v>SL/HL</x:v>
      </x:c>
      <x:c r="F446" s="9" t="str">
        <x:v>Gross primary production</x:v>
      </x:c>
      <x:c r="G446" s="9" t="str">
        <x:v>The total rate at which producers capture energy and store it in organic compounds.</x:v>
      </x:c>
      <x:c r="H446" s="9" t="str">
        <x:v>OpenStax Biology 2e, 46 Ecosystems</x:v>
      </x:c>
      <x:c r="I446" s="9" t="str">
        <x:v>https://openstax.org/books/biology-2e/pages/46-introduction</x:v>
      </x:c>
      <x:c r="J446" s="9" t="str">
        <x:v>Verified</x:v>
      </x:c>
    </x:row>
    <x:row r="447" ht="42" customHeight="1">
      <x:c r="A447" s="8" t="str">
        <x:v>C4.2-12</x:v>
      </x:c>
      <x:c r="B447" s="8" t="str">
        <x:v>C4.2</x:v>
      </x:c>
      <x:c r="C447" s="9" t="str">
        <x:v>Interaction and interdependence</x:v>
      </x:c>
      <x:c r="D447" s="9" t="str">
        <x:v>Transfer of energy and matter</x:v>
      </x:c>
      <x:c r="E447" s="9" t="str">
        <x:v>SL/HL</x:v>
      </x:c>
      <x:c r="F447" s="9" t="str">
        <x:v>Net primary production</x:v>
      </x:c>
      <x:c r="G447" s="9" t="str">
        <x:v>The rate at which producer biomass accumulates after subtracting producers’ respiratory losses.</x:v>
      </x:c>
      <x:c r="H447" s="9" t="str">
        <x:v>OpenStax Biology 2e, 46 Ecosystems</x:v>
      </x:c>
      <x:c r="I447" s="9" t="str">
        <x:v>https://openstax.org/books/biology-2e/pages/46-introduction</x:v>
      </x:c>
      <x:c r="J447" s="9" t="str">
        <x:v>Verified</x:v>
      </x:c>
    </x:row>
    <x:row r="448" ht="42" customHeight="1">
      <x:c r="A448" s="8" t="str">
        <x:v>C4.2-13</x:v>
      </x:c>
      <x:c r="B448" s="8" t="str">
        <x:v>C4.2</x:v>
      </x:c>
      <x:c r="C448" s="9" t="str">
        <x:v>Interaction and interdependence</x:v>
      </x:c>
      <x:c r="D448" s="9" t="str">
        <x:v>Transfer of energy and matter</x:v>
      </x:c>
      <x:c r="E448" s="9" t="str">
        <x:v>SL/HL</x:v>
      </x:c>
      <x:c r="F448" s="9" t="str">
        <x:v>Productivity</x:v>
      </x:c>
      <x:c r="G448" s="9" t="str">
        <x:v>The rate of biomass or energy production per unit area or volume.</x:v>
      </x:c>
      <x:c r="H448" s="9" t="str">
        <x:v>OpenStax Biology 2e, 46 Ecosystems</x:v>
      </x:c>
      <x:c r="I448" s="9" t="str">
        <x:v>https://openstax.org/books/biology-2e/pages/46-introduction</x:v>
      </x:c>
      <x:c r="J448" s="9" t="str">
        <x:v>Verified</x:v>
      </x:c>
    </x:row>
    <x:row r="449" ht="42" customHeight="1">
      <x:c r="A449" s="8" t="str">
        <x:v>C4.2-14</x:v>
      </x:c>
      <x:c r="B449" s="8" t="str">
        <x:v>C4.2</x:v>
      </x:c>
      <x:c r="C449" s="9" t="str">
        <x:v>Interaction and interdependence</x:v>
      </x:c>
      <x:c r="D449" s="9" t="str">
        <x:v>Transfer of energy and matter</x:v>
      </x:c>
      <x:c r="E449" s="9" t="str">
        <x:v>SL/HL</x:v>
      </x:c>
      <x:c r="F449" s="9" t="str">
        <x:v>Trophic efficiency</x:v>
      </x:c>
      <x:c r="G449" s="9" t="str">
        <x:v>The percentage of energy or biomass at one trophic level transferred to the next.</x:v>
      </x:c>
      <x:c r="H449" s="9" t="str">
        <x:v>OpenStax Biology 2e, 46 Ecosystems</x:v>
      </x:c>
      <x:c r="I449" s="9" t="str">
        <x:v>https://openstax.org/books/biology-2e/pages/46-introduction</x:v>
      </x:c>
      <x:c r="J449" s="9" t="str">
        <x:v>Verified</x:v>
      </x:c>
    </x:row>
    <x:row r="450" ht="42" customHeight="1">
      <x:c r="A450" s="8" t="str">
        <x:v>C4.2-15</x:v>
      </x:c>
      <x:c r="B450" s="8" t="str">
        <x:v>C4.2</x:v>
      </x:c>
      <x:c r="C450" s="9" t="str">
        <x:v>Interaction and interdependence</x:v>
      </x:c>
      <x:c r="D450" s="9" t="str">
        <x:v>Transfer of energy and matter</x:v>
      </x:c>
      <x:c r="E450" s="9" t="str">
        <x:v>SL/HL</x:v>
      </x:c>
      <x:c r="F450" s="9" t="str">
        <x:v>Biomass</x:v>
      </x:c>
      <x:c r="G450" s="9" t="str">
        <x:v>The mass of living or recently living organic material in a stated area or trophic level.</x:v>
      </x:c>
      <x:c r="H450" s="9" t="str">
        <x:v>OpenStax Biology 2e, 46 Ecosystems</x:v>
      </x:c>
      <x:c r="I450" s="9" t="str">
        <x:v>https://openstax.org/books/biology-2e/pages/46-introduction</x:v>
      </x:c>
      <x:c r="J450" s="9" t="str">
        <x:v>Verified</x:v>
      </x:c>
    </x:row>
    <x:row r="451" ht="42" customHeight="1">
      <x:c r="A451" s="8" t="str">
        <x:v>C4.2-16</x:v>
      </x:c>
      <x:c r="B451" s="8" t="str">
        <x:v>C4.2</x:v>
      </x:c>
      <x:c r="C451" s="9" t="str">
        <x:v>Interaction and interdependence</x:v>
      </x:c>
      <x:c r="D451" s="9" t="str">
        <x:v>Transfer of energy and matter</x:v>
      </x:c>
      <x:c r="E451" s="9" t="str">
        <x:v>SL/HL</x:v>
      </x:c>
      <x:c r="F451" s="9" t="str">
        <x:v>Nutrient cycle</x:v>
      </x:c>
      <x:c r="G451" s="9" t="str">
        <x:v>Movement and chemical transformation of an element between organisms and abiotic reservoirs.</x:v>
      </x:c>
      <x:c r="H451" s="9" t="str">
        <x:v>OpenStax Biology 2e, 46 Ecosystems</x:v>
      </x:c>
      <x:c r="I451" s="9" t="str">
        <x:v>https://openstax.org/books/biology-2e/pages/46-introduction</x:v>
      </x:c>
      <x:c r="J451" s="9" t="str">
        <x:v>Verified</x:v>
      </x:c>
    </x:row>
    <x:row r="452" ht="42" customHeight="1">
      <x:c r="A452" s="8" t="str">
        <x:v>C4.2-17</x:v>
      </x:c>
      <x:c r="B452" s="8" t="str">
        <x:v>C4.2</x:v>
      </x:c>
      <x:c r="C452" s="9" t="str">
        <x:v>Interaction and interdependence</x:v>
      </x:c>
      <x:c r="D452" s="9" t="str">
        <x:v>Transfer of energy and matter</x:v>
      </x:c>
      <x:c r="E452" s="9" t="str">
        <x:v>SL/HL</x:v>
      </x:c>
      <x:c r="F452" s="9" t="str">
        <x:v>Carbon cycle</x:v>
      </x:c>
      <x:c r="G452" s="9" t="str">
        <x:v>Transfers of carbon among the atmosphere, water, rocks, soils, and living organisms.</x:v>
      </x:c>
      <x:c r="H452" s="9" t="str">
        <x:v>OpenStax Biology 2e, 46 Ecosystems</x:v>
      </x:c>
      <x:c r="I452" s="9" t="str">
        <x:v>https://openstax.org/books/biology-2e/pages/46-introduction</x:v>
      </x:c>
      <x:c r="J452" s="9" t="str">
        <x:v>Verified</x:v>
      </x:c>
    </x:row>
    <x:row r="453" ht="42" customHeight="1">
      <x:c r="A453" s="8" t="str">
        <x:v>C4.2-18</x:v>
      </x:c>
      <x:c r="B453" s="8" t="str">
        <x:v>C4.2</x:v>
      </x:c>
      <x:c r="C453" s="9" t="str">
        <x:v>Interaction and interdependence</x:v>
      </x:c>
      <x:c r="D453" s="9" t="str">
        <x:v>Transfer of energy and matter</x:v>
      </x:c>
      <x:c r="E453" s="9" t="str">
        <x:v>SL/HL</x:v>
      </x:c>
      <x:c r="F453" s="9" t="str">
        <x:v>Nitrogen cycle</x:v>
      </x:c>
      <x:c r="G453" s="9" t="str">
        <x:v>Transformations and transfers of nitrogen among atmospheric, inorganic, and organic forms.</x:v>
      </x:c>
      <x:c r="H453" s="9" t="str">
        <x:v>OpenStax Biology 2e, 46 Ecosystems</x:v>
      </x:c>
      <x:c r="I453" s="9" t="str">
        <x:v>https://openstax.org/books/biology-2e/pages/46-introduction</x:v>
      </x:c>
      <x:c r="J453" s="9" t="str">
        <x:v>Verified</x:v>
      </x:c>
    </x:row>
    <x:row r="454" ht="42" customHeight="1">
      <x:c r="A454" s="8" t="str">
        <x:v>C4.2-19</x:v>
      </x:c>
      <x:c r="B454" s="8" t="str">
        <x:v>C4.2</x:v>
      </x:c>
      <x:c r="C454" s="9" t="str">
        <x:v>Interaction and interdependence</x:v>
      </x:c>
      <x:c r="D454" s="9" t="str">
        <x:v>Transfer of energy and matter</x:v>
      </x:c>
      <x:c r="E454" s="9" t="str">
        <x:v>SL/HL</x:v>
      </x:c>
      <x:c r="F454" s="9" t="str">
        <x:v>Bioaccumulation</x:v>
      </x:c>
      <x:c r="G454" s="9" t="str">
        <x:v>Increase in a persistent substance’s concentration within one organism over time.</x:v>
      </x:c>
      <x:c r="H454" s="9" t="str">
        <x:v>OpenStax Biology 2e, 46 Ecosystems</x:v>
      </x:c>
      <x:c r="I454" s="9" t="str">
        <x:v>https://openstax.org/books/biology-2e/pages/46-introduction</x:v>
      </x:c>
      <x:c r="J454" s="9" t="str">
        <x:v>Verified</x:v>
      </x:c>
    </x:row>
    <x:row r="455" ht="42" customHeight="1">
      <x:c r="A455" s="8" t="str">
        <x:v>C4.2-20</x:v>
      </x:c>
      <x:c r="B455" s="8" t="str">
        <x:v>C4.2</x:v>
      </x:c>
      <x:c r="C455" s="9" t="str">
        <x:v>Interaction and interdependence</x:v>
      </x:c>
      <x:c r="D455" s="9" t="str">
        <x:v>Transfer of energy and matter</x:v>
      </x:c>
      <x:c r="E455" s="9" t="str">
        <x:v>SL/HL</x:v>
      </x:c>
      <x:c r="F455" s="9" t="str">
        <x:v>Biomagnification</x:v>
      </x:c>
      <x:c r="G455" s="9" t="str">
        <x:v>Increase in a persistent substance’s concentration at successively higher trophic levels.</x:v>
      </x:c>
      <x:c r="H455" s="9" t="str">
        <x:v>OpenStax Biology 2e, 46 Ecosystems</x:v>
      </x:c>
      <x:c r="I455" s="9" t="str">
        <x:v>https://openstax.org/books/biology-2e/pages/46-introduction</x:v>
      </x:c>
      <x:c r="J455" s="9" t="str">
        <x:v>Verified</x:v>
      </x:c>
    </x:row>
    <x:row r="456" ht="42" customHeight="1">
      <x:c r="A456" s="8" t="str">
        <x:v>D1.1-01</x:v>
      </x:c>
      <x:c r="B456" s="8" t="str">
        <x:v>D1.1</x:v>
      </x:c>
      <x:c r="C456" s="9" t="str">
        <x:v>Continuity and change</x:v>
      </x:c>
      <x:c r="D456" s="9" t="str">
        <x:v>DNA replication</x:v>
      </x:c>
      <x:c r="E456" s="9" t="str">
        <x:v>SL/HL</x:v>
      </x:c>
      <x:c r="F456" s="9" t="str">
        <x:v>Semiconservative replication</x:v>
      </x:c>
      <x:c r="G456" s="9" t="str">
        <x:v>DNA copying in which each daughter double helix contains one parental strand and one newly synthesized strand.</x:v>
      </x:c>
      <x:c r="H456" s="9" t="str">
        <x:v>OpenStax Biology 2e, 14.3 DNA Replication in Eukaryotes</x:v>
      </x:c>
      <x:c r="I456" s="9" t="str">
        <x:v>https://openstax.org/books/biology-2e/pages/14-3-basics-of-dna-replication</x:v>
      </x:c>
      <x:c r="J456" s="9" t="str">
        <x:v>Verified</x:v>
      </x:c>
    </x:row>
    <x:row r="457" ht="42" customHeight="1">
      <x:c r="A457" s="8" t="str">
        <x:v>D1.1-02</x:v>
      </x:c>
      <x:c r="B457" s="8" t="str">
        <x:v>D1.1</x:v>
      </x:c>
      <x:c r="C457" s="9" t="str">
        <x:v>Continuity and change</x:v>
      </x:c>
      <x:c r="D457" s="9" t="str">
        <x:v>DNA replication</x:v>
      </x:c>
      <x:c r="E457" s="9" t="str">
        <x:v>SL/HL</x:v>
      </x:c>
      <x:c r="F457" s="9" t="str">
        <x:v>Origin of replication</x:v>
      </x:c>
      <x:c r="G457" s="9" t="str">
        <x:v>A DNA sequence where replication proteins assemble and DNA synthesis begins.</x:v>
      </x:c>
      <x:c r="H457" s="9" t="str">
        <x:v>OpenStax Biology 2e, 14.3 DNA Replication in Eukaryotes</x:v>
      </x:c>
      <x:c r="I457" s="9" t="str">
        <x:v>https://openstax.org/books/biology-2e/pages/14-3-basics-of-dna-replication</x:v>
      </x:c>
      <x:c r="J457" s="9" t="str">
        <x:v>Verified</x:v>
      </x:c>
    </x:row>
    <x:row r="458" ht="42" customHeight="1">
      <x:c r="A458" s="8" t="str">
        <x:v>D1.1-03</x:v>
      </x:c>
      <x:c r="B458" s="8" t="str">
        <x:v>D1.1</x:v>
      </x:c>
      <x:c r="C458" s="9" t="str">
        <x:v>Continuity and change</x:v>
      </x:c>
      <x:c r="D458" s="9" t="str">
        <x:v>DNA replication</x:v>
      </x:c>
      <x:c r="E458" s="9" t="str">
        <x:v>SL/HL</x:v>
      </x:c>
      <x:c r="F458" s="9" t="str">
        <x:v>Replication fork</x:v>
      </x:c>
      <x:c r="G458" s="9" t="str">
        <x:v>A Y-shaped region where parental DNA strands separate and new strands are synthesized.</x:v>
      </x:c>
      <x:c r="H458" s="9" t="str">
        <x:v>OpenStax Biology 2e, 14.3 DNA Replication in Eukaryotes</x:v>
      </x:c>
      <x:c r="I458" s="9" t="str">
        <x:v>https://openstax.org/books/biology-2e/pages/14-3-basics-of-dna-replication</x:v>
      </x:c>
      <x:c r="J458" s="9" t="str">
        <x:v>Verified</x:v>
      </x:c>
    </x:row>
    <x:row r="459" ht="42" customHeight="1">
      <x:c r="A459" s="8" t="str">
        <x:v>D1.1-04</x:v>
      </x:c>
      <x:c r="B459" s="8" t="str">
        <x:v>D1.1</x:v>
      </x:c>
      <x:c r="C459" s="9" t="str">
        <x:v>Continuity and change</x:v>
      </x:c>
      <x:c r="D459" s="9" t="str">
        <x:v>DNA replication</x:v>
      </x:c>
      <x:c r="E459" s="9" t="str">
        <x:v>SL/HL</x:v>
      </x:c>
      <x:c r="F459" s="9" t="str">
        <x:v>DNA helicase</x:v>
      </x:c>
      <x:c r="G459" s="9" t="str">
        <x:v>An enzyme that uses ATP to unwind a DNA double helix at a replication fork.</x:v>
      </x:c>
      <x:c r="H459" s="9" t="str">
        <x:v>OpenStax Biology 2e, 14.3 DNA Replication in Eukaryotes</x:v>
      </x:c>
      <x:c r="I459" s="9" t="str">
        <x:v>https://openstax.org/books/biology-2e/pages/14-3-basics-of-dna-replication</x:v>
      </x:c>
      <x:c r="J459" s="9" t="str">
        <x:v>Verified</x:v>
      </x:c>
    </x:row>
    <x:row r="460" ht="42" customHeight="1">
      <x:c r="A460" s="8" t="str">
        <x:v>D1.1-05</x:v>
      </x:c>
      <x:c r="B460" s="8" t="str">
        <x:v>D1.1</x:v>
      </x:c>
      <x:c r="C460" s="9" t="str">
        <x:v>Continuity and change</x:v>
      </x:c>
      <x:c r="D460" s="9" t="str">
        <x:v>DNA replication</x:v>
      </x:c>
      <x:c r="E460" s="9" t="str">
        <x:v>SL/HL</x:v>
      </x:c>
      <x:c r="F460" s="9" t="str">
        <x:v>Topoisomerase</x:v>
      </x:c>
      <x:c r="G460" s="9" t="str">
        <x:v>An enzyme that relieves torsional strain ahead of a replication fork by cutting and rejoining DNA.</x:v>
      </x:c>
      <x:c r="H460" s="9" t="str">
        <x:v>OpenStax Biology 2e, 14.3 DNA Replication in Eukaryotes</x:v>
      </x:c>
      <x:c r="I460" s="9" t="str">
        <x:v>https://openstax.org/books/biology-2e/pages/14-3-basics-of-dna-replication</x:v>
      </x:c>
      <x:c r="J460" s="9" t="str">
        <x:v>Verified</x:v>
      </x:c>
    </x:row>
    <x:row r="461" ht="42" customHeight="1">
      <x:c r="A461" s="8" t="str">
        <x:v>D1.1-06</x:v>
      </x:c>
      <x:c r="B461" s="8" t="str">
        <x:v>D1.1</x:v>
      </x:c>
      <x:c r="C461" s="9" t="str">
        <x:v>Continuity and change</x:v>
      </x:c>
      <x:c r="D461" s="9" t="str">
        <x:v>DNA replication</x:v>
      </x:c>
      <x:c r="E461" s="9" t="str">
        <x:v>SL/HL</x:v>
      </x:c>
      <x:c r="F461" s="9" t="str">
        <x:v>Single-strand binding protein</x:v>
      </x:c>
      <x:c r="G461" s="9" t="str">
        <x:v>A protein that stabilizes separated DNA strands and prevents them from re-pairing during replication.</x:v>
      </x:c>
      <x:c r="H461" s="9" t="str">
        <x:v>OpenStax Biology 2e, 14.3 DNA Replication in Eukaryotes</x:v>
      </x:c>
      <x:c r="I461" s="9" t="str">
        <x:v>https://openstax.org/books/biology-2e/pages/14-3-basics-of-dna-replication</x:v>
      </x:c>
      <x:c r="J461" s="9" t="str">
        <x:v>Verified</x:v>
      </x:c>
    </x:row>
    <x:row r="462" ht="42" customHeight="1">
      <x:c r="A462" s="8" t="str">
        <x:v>D1.1-07</x:v>
      </x:c>
      <x:c r="B462" s="8" t="str">
        <x:v>D1.1</x:v>
      </x:c>
      <x:c r="C462" s="9" t="str">
        <x:v>Continuity and change</x:v>
      </x:c>
      <x:c r="D462" s="9" t="str">
        <x:v>DNA replication</x:v>
      </x:c>
      <x:c r="E462" s="9" t="str">
        <x:v>SL/HL</x:v>
      </x:c>
      <x:c r="F462" s="9" t="str">
        <x:v>RNA primer</x:v>
      </x:c>
      <x:c r="G462" s="9" t="str">
        <x:v>A short RNA segment providing a free 3′ hydroxyl group for DNA polymerase.</x:v>
      </x:c>
      <x:c r="H462" s="9" t="str">
        <x:v>OpenStax Biology 2e, 14.3 DNA Replication in Eukaryotes</x:v>
      </x:c>
      <x:c r="I462" s="9" t="str">
        <x:v>https://openstax.org/books/biology-2e/pages/14-3-basics-of-dna-replication</x:v>
      </x:c>
      <x:c r="J462" s="9" t="str">
        <x:v>Verified</x:v>
      </x:c>
    </x:row>
    <x:row r="463" ht="42" customHeight="1">
      <x:c r="A463" s="8" t="str">
        <x:v>D1.1-08</x:v>
      </x:c>
      <x:c r="B463" s="8" t="str">
        <x:v>D1.1</x:v>
      </x:c>
      <x:c r="C463" s="9" t="str">
        <x:v>Continuity and change</x:v>
      </x:c>
      <x:c r="D463" s="9" t="str">
        <x:v>DNA replication</x:v>
      </x:c>
      <x:c r="E463" s="9" t="str">
        <x:v>SL/HL</x:v>
      </x:c>
      <x:c r="F463" s="9" t="str">
        <x:v>Primase</x:v>
      </x:c>
      <x:c r="G463" s="9" t="str">
        <x:v>An RNA polymerase that synthesizes primers needed to begin DNA replication.</x:v>
      </x:c>
      <x:c r="H463" s="9" t="str">
        <x:v>OpenStax Biology 2e, 14.3 DNA Replication in Eukaryotes</x:v>
      </x:c>
      <x:c r="I463" s="9" t="str">
        <x:v>https://openstax.org/books/biology-2e/pages/14-3-basics-of-dna-replication</x:v>
      </x:c>
      <x:c r="J463" s="9" t="str">
        <x:v>Verified</x:v>
      </x:c>
    </x:row>
    <x:row r="464" ht="42" customHeight="1">
      <x:c r="A464" s="8" t="str">
        <x:v>D1.1-09</x:v>
      </x:c>
      <x:c r="B464" s="8" t="str">
        <x:v>D1.1</x:v>
      </x:c>
      <x:c r="C464" s="9" t="str">
        <x:v>Continuity and change</x:v>
      </x:c>
      <x:c r="D464" s="9" t="str">
        <x:v>DNA replication</x:v>
      </x:c>
      <x:c r="E464" s="9" t="str">
        <x:v>SL/HL</x:v>
      </x:c>
      <x:c r="F464" s="9" t="str">
        <x:v>DNA polymerase</x:v>
      </x:c>
      <x:c r="G464" s="9" t="str">
        <x:v>An enzyme that extends DNA from a primer by adding complementary nucleotides to a 3′ end.</x:v>
      </x:c>
      <x:c r="H464" s="9" t="str">
        <x:v>OpenStax Biology 2e, 14.3 DNA Replication in Eukaryotes</x:v>
      </x:c>
      <x:c r="I464" s="9" t="str">
        <x:v>https://openstax.org/books/biology-2e/pages/14-3-basics-of-dna-replication</x:v>
      </x:c>
      <x:c r="J464" s="9" t="str">
        <x:v>Verified</x:v>
      </x:c>
    </x:row>
    <x:row r="465" ht="42" customHeight="1">
      <x:c r="A465" s="8" t="str">
        <x:v>D1.1-10</x:v>
      </x:c>
      <x:c r="B465" s="8" t="str">
        <x:v>D1.1</x:v>
      </x:c>
      <x:c r="C465" s="9" t="str">
        <x:v>Continuity and change</x:v>
      </x:c>
      <x:c r="D465" s="9" t="str">
        <x:v>DNA replication</x:v>
      </x:c>
      <x:c r="E465" s="9" t="str">
        <x:v>SL/HL</x:v>
      </x:c>
      <x:c r="F465" s="9" t="str">
        <x:v>Leading strand</x:v>
      </x:c>
      <x:c r="G465" s="9" t="str">
        <x:v>The daughter strand synthesized continuously toward the advancing replication fork.</x:v>
      </x:c>
      <x:c r="H465" s="9" t="str">
        <x:v>OpenStax Biology 2e, 14.3 DNA Replication in Eukaryotes</x:v>
      </x:c>
      <x:c r="I465" s="9" t="str">
        <x:v>https://openstax.org/books/biology-2e/pages/14-3-basics-of-dna-replication</x:v>
      </x:c>
      <x:c r="J465" s="9" t="str">
        <x:v>Verified</x:v>
      </x:c>
    </x:row>
    <x:row r="466" ht="42" customHeight="1">
      <x:c r="A466" s="8" t="str">
        <x:v>D1.1-11</x:v>
      </x:c>
      <x:c r="B466" s="8" t="str">
        <x:v>D1.1</x:v>
      </x:c>
      <x:c r="C466" s="9" t="str">
        <x:v>Continuity and change</x:v>
      </x:c>
      <x:c r="D466" s="9" t="str">
        <x:v>DNA replication</x:v>
      </x:c>
      <x:c r="E466" s="9" t="str">
        <x:v>SL/HL</x:v>
      </x:c>
      <x:c r="F466" s="9" t="str">
        <x:v>Lagging strand</x:v>
      </x:c>
      <x:c r="G466" s="9" t="str">
        <x:v>The daughter strand synthesized discontinuously away from the replication fork as short fragments.</x:v>
      </x:c>
      <x:c r="H466" s="9" t="str">
        <x:v>OpenStax Biology 2e, 14.3 DNA Replication in Eukaryotes</x:v>
      </x:c>
      <x:c r="I466" s="9" t="str">
        <x:v>https://openstax.org/books/biology-2e/pages/14-3-basics-of-dna-replication</x:v>
      </x:c>
      <x:c r="J466" s="9" t="str">
        <x:v>Verified</x:v>
      </x:c>
    </x:row>
    <x:row r="467" ht="42" customHeight="1">
      <x:c r="A467" s="8" t="str">
        <x:v>D1.1-12</x:v>
      </x:c>
      <x:c r="B467" s="8" t="str">
        <x:v>D1.1</x:v>
      </x:c>
      <x:c r="C467" s="9" t="str">
        <x:v>Continuity and change</x:v>
      </x:c>
      <x:c r="D467" s="9" t="str">
        <x:v>DNA replication</x:v>
      </x:c>
      <x:c r="E467" s="9" t="str">
        <x:v>SL/HL</x:v>
      </x:c>
      <x:c r="F467" s="9" t="str">
        <x:v>Okazaki fragment</x:v>
      </x:c>
      <x:c r="G467" s="9" t="str">
        <x:v>A short DNA segment produced during discontinuous synthesis of the lagging strand.</x:v>
      </x:c>
      <x:c r="H467" s="9" t="str">
        <x:v>OpenStax Biology 2e, 14.3 DNA Replication in Eukaryotes</x:v>
      </x:c>
      <x:c r="I467" s="9" t="str">
        <x:v>https://openstax.org/books/biology-2e/pages/14-3-basics-of-dna-replication</x:v>
      </x:c>
      <x:c r="J467" s="9" t="str">
        <x:v>Verified</x:v>
      </x:c>
    </x:row>
    <x:row r="468" ht="42" customHeight="1">
      <x:c r="A468" s="8" t="str">
        <x:v>D1.1-13</x:v>
      </x:c>
      <x:c r="B468" s="8" t="str">
        <x:v>D1.1</x:v>
      </x:c>
      <x:c r="C468" s="9" t="str">
        <x:v>Continuity and change</x:v>
      </x:c>
      <x:c r="D468" s="9" t="str">
        <x:v>DNA replication</x:v>
      </x:c>
      <x:c r="E468" s="9" t="str">
        <x:v>SL/HL</x:v>
      </x:c>
      <x:c r="F468" s="9" t="str">
        <x:v>DNA ligase</x:v>
      </x:c>
      <x:c r="G468" s="9" t="str">
        <x:v>An enzyme that seals breaks in a sugar–phosphate backbone by forming phosphodiester bonds.</x:v>
      </x:c>
      <x:c r="H468" s="9" t="str">
        <x:v>OpenStax Biology 2e, 14.3 DNA Replication in Eukaryotes</x:v>
      </x:c>
      <x:c r="I468" s="9" t="str">
        <x:v>https://openstax.org/books/biology-2e/pages/14-3-basics-of-dna-replication</x:v>
      </x:c>
      <x:c r="J468" s="9" t="str">
        <x:v>Verified</x:v>
      </x:c>
    </x:row>
    <x:row r="469" ht="42" customHeight="1">
      <x:c r="A469" s="8" t="str">
        <x:v>D1.1-14</x:v>
      </x:c>
      <x:c r="B469" s="8" t="str">
        <x:v>D1.1</x:v>
      </x:c>
      <x:c r="C469" s="9" t="str">
        <x:v>Continuity and change</x:v>
      </x:c>
      <x:c r="D469" s="9" t="str">
        <x:v>DNA replication</x:v>
      </x:c>
      <x:c r="E469" s="9" t="str">
        <x:v>SL/HL</x:v>
      </x:c>
      <x:c r="F469" s="9" t="str">
        <x:v>DNA proofreading</x:v>
      </x:c>
      <x:c r="G469" s="9" t="str">
        <x:v>Detection and removal of an incorrectly paired nucleotide during or immediately after DNA synthesis.</x:v>
      </x:c>
      <x:c r="H469" s="9" t="str">
        <x:v>OpenStax Biology 2e, 14.3 DNA Replication in Eukaryotes</x:v>
      </x:c>
      <x:c r="I469" s="9" t="str">
        <x:v>https://openstax.org/books/biology-2e/pages/14-3-basics-of-dna-replication</x:v>
      </x:c>
      <x:c r="J469" s="9" t="str">
        <x:v>Verified</x:v>
      </x:c>
    </x:row>
    <x:row r="470" ht="42" customHeight="1">
      <x:c r="A470" s="8" t="str">
        <x:v>D1.1-15</x:v>
      </x:c>
      <x:c r="B470" s="8" t="str">
        <x:v>D1.1</x:v>
      </x:c>
      <x:c r="C470" s="9" t="str">
        <x:v>Continuity and change</x:v>
      </x:c>
      <x:c r="D470" s="9" t="str">
        <x:v>DNA replication</x:v>
      </x:c>
      <x:c r="E470" s="9" t="str">
        <x:v>SL/HL</x:v>
      </x:c>
      <x:c r="F470" s="9" t="str">
        <x:v>Telomere</x:v>
      </x:c>
      <x:c r="G470" s="9" t="str">
        <x:v>A repetitive DNA–protein structure that protects the end of a linear chromosome.</x:v>
      </x:c>
      <x:c r="H470" s="9" t="str">
        <x:v>OpenStax Biology 2e, 14.3 DNA Replication in Eukaryotes</x:v>
      </x:c>
      <x:c r="I470" s="9" t="str">
        <x:v>https://openstax.org/books/biology-2e/pages/14-3-basics-of-dna-replication</x:v>
      </x:c>
      <x:c r="J470" s="9" t="str">
        <x:v>Verified</x:v>
      </x:c>
    </x:row>
    <x:row r="471" ht="42" customHeight="1">
      <x:c r="A471" s="8" t="str">
        <x:v>D1.1-16</x:v>
      </x:c>
      <x:c r="B471" s="8" t="str">
        <x:v>D1.1</x:v>
      </x:c>
      <x:c r="C471" s="9" t="str">
        <x:v>Continuity and change</x:v>
      </x:c>
      <x:c r="D471" s="9" t="str">
        <x:v>DNA replication</x:v>
      </x:c>
      <x:c r="E471" s="9" t="str">
        <x:v>SL/HL</x:v>
      </x:c>
      <x:c r="F471" s="9" t="str">
        <x:v>Telomerase</x:v>
      </x:c>
      <x:c r="G471" s="9" t="str">
        <x:v>An RNA-containing enzyme that extends chromosome ends using its internal RNA as a template.</x:v>
      </x:c>
      <x:c r="H471" s="9" t="str">
        <x:v>OpenStax Biology 2e, 14.3 DNA Replication in Eukaryotes</x:v>
      </x:c>
      <x:c r="I471" s="9" t="str">
        <x:v>https://openstax.org/books/biology-2e/pages/14-3-basics-of-dna-replication</x:v>
      </x:c>
      <x:c r="J471" s="9" t="str">
        <x:v>Verified</x:v>
      </x:c>
    </x:row>
    <x:row r="472" ht="42" customHeight="1">
      <x:c r="A472" s="8" t="str">
        <x:v>D1.2-01</x:v>
      </x:c>
      <x:c r="B472" s="8" t="str">
        <x:v>D1.2</x:v>
      </x:c>
      <x:c r="C472" s="9" t="str">
        <x:v>Continuity and change</x:v>
      </x:c>
      <x:c r="D472" s="9" t="str">
        <x:v>Protein synthesis</x:v>
      </x:c>
      <x:c r="E472" s="9" t="str">
        <x:v>SL/HL</x:v>
      </x:c>
      <x:c r="F472" s="9" t="str">
        <x:v>Gene</x:v>
      </x:c>
      <x:c r="G472" s="9" t="str">
        <x:v>A DNA sequence that contributes to a functional RNA or polypeptide product.</x:v>
      </x:c>
      <x:c r="H472" s="9" t="str">
        <x:v>OpenStax Biology 2e, 15 Genes and Proteins</x:v>
      </x:c>
      <x:c r="I472" s="9" t="str">
        <x:v>https://openstax.org/books/biology-2e/pages/15-introduction</x:v>
      </x:c>
      <x:c r="J472" s="9" t="str">
        <x:v>Verified</x:v>
      </x:c>
    </x:row>
    <x:row r="473" ht="42" customHeight="1">
      <x:c r="A473" s="8" t="str">
        <x:v>D1.2-02</x:v>
      </x:c>
      <x:c r="B473" s="8" t="str">
        <x:v>D1.2</x:v>
      </x:c>
      <x:c r="C473" s="9" t="str">
        <x:v>Continuity and change</x:v>
      </x:c>
      <x:c r="D473" s="9" t="str">
        <x:v>Protein synthesis</x:v>
      </x:c>
      <x:c r="E473" s="9" t="str">
        <x:v>SL/HL</x:v>
      </x:c>
      <x:c r="F473" s="9" t="str">
        <x:v>Transcription</x:v>
      </x:c>
      <x:c r="G473" s="9" t="str">
        <x:v>Synthesis of an RNA strand complementary to a DNA template.</x:v>
      </x:c>
      <x:c r="H473" s="9" t="str">
        <x:v>OpenStax Biology 2e, 15 Genes and Proteins</x:v>
      </x:c>
      <x:c r="I473" s="9" t="str">
        <x:v>https://openstax.org/books/biology-2e/pages/15-introduction</x:v>
      </x:c>
      <x:c r="J473" s="9" t="str">
        <x:v>Verified</x:v>
      </x:c>
    </x:row>
    <x:row r="474" ht="42" customHeight="1">
      <x:c r="A474" s="8" t="str">
        <x:v>D1.2-03</x:v>
      </x:c>
      <x:c r="B474" s="8" t="str">
        <x:v>D1.2</x:v>
      </x:c>
      <x:c r="C474" s="9" t="str">
        <x:v>Continuity and change</x:v>
      </x:c>
      <x:c r="D474" s="9" t="str">
        <x:v>Protein synthesis</x:v>
      </x:c>
      <x:c r="E474" s="9" t="str">
        <x:v>SL/HL</x:v>
      </x:c>
      <x:c r="F474" s="9" t="str">
        <x:v>RNA polymerase</x:v>
      </x:c>
      <x:c r="G474" s="9" t="str">
        <x:v>An enzyme that synthesizes RNA in the 5′-to-3′ direction from a DNA template.</x:v>
      </x:c>
      <x:c r="H474" s="9" t="str">
        <x:v>OpenStax Biology 2e, 15 Genes and Proteins</x:v>
      </x:c>
      <x:c r="I474" s="9" t="str">
        <x:v>https://openstax.org/books/biology-2e/pages/15-introduction</x:v>
      </x:c>
      <x:c r="J474" s="9" t="str">
        <x:v>Verified</x:v>
      </x:c>
    </x:row>
    <x:row r="475" ht="42" customHeight="1">
      <x:c r="A475" s="8" t="str">
        <x:v>D1.2-04</x:v>
      </x:c>
      <x:c r="B475" s="8" t="str">
        <x:v>D1.2</x:v>
      </x:c>
      <x:c r="C475" s="9" t="str">
        <x:v>Continuity and change</x:v>
      </x:c>
      <x:c r="D475" s="9" t="str">
        <x:v>Protein synthesis</x:v>
      </x:c>
      <x:c r="E475" s="9" t="str">
        <x:v>SL/HL</x:v>
      </x:c>
      <x:c r="F475" s="9" t="str">
        <x:v>Promoter</x:v>
      </x:c>
      <x:c r="G475" s="9" t="str">
        <x:v>A DNA region where transcription machinery binds to initiate RNA synthesis.</x:v>
      </x:c>
      <x:c r="H475" s="9" t="str">
        <x:v>OpenStax Biology 2e, 15 Genes and Proteins</x:v>
      </x:c>
      <x:c r="I475" s="9" t="str">
        <x:v>https://openstax.org/books/biology-2e/pages/15-introduction</x:v>
      </x:c>
      <x:c r="J475" s="9" t="str">
        <x:v>Verified</x:v>
      </x:c>
    </x:row>
    <x:row r="476" ht="42" customHeight="1">
      <x:c r="A476" s="8" t="str">
        <x:v>D1.2-05</x:v>
      </x:c>
      <x:c r="B476" s="8" t="str">
        <x:v>D1.2</x:v>
      </x:c>
      <x:c r="C476" s="9" t="str">
        <x:v>Continuity and change</x:v>
      </x:c>
      <x:c r="D476" s="9" t="str">
        <x:v>Protein synthesis</x:v>
      </x:c>
      <x:c r="E476" s="9" t="str">
        <x:v>SL/HL</x:v>
      </x:c>
      <x:c r="F476" s="9" t="str">
        <x:v>Transcription terminator</x:v>
      </x:c>
      <x:c r="G476" s="9" t="str">
        <x:v>A sequence or structural signal that causes transcription to stop and the RNA transcript to be released.</x:v>
      </x:c>
      <x:c r="H476" s="9" t="str">
        <x:v>OpenStax Biology 2e, 15 Genes and Proteins</x:v>
      </x:c>
      <x:c r="I476" s="9" t="str">
        <x:v>https://openstax.org/books/biology-2e/pages/15-introduction</x:v>
      </x:c>
      <x:c r="J476" s="9" t="str">
        <x:v>Verified</x:v>
      </x:c>
    </x:row>
    <x:row r="477" ht="42" customHeight="1">
      <x:c r="A477" s="8" t="str">
        <x:v>D1.2-06</x:v>
      </x:c>
      <x:c r="B477" s="8" t="str">
        <x:v>D1.2</x:v>
      </x:c>
      <x:c r="C477" s="9" t="str">
        <x:v>Continuity and change</x:v>
      </x:c>
      <x:c r="D477" s="9" t="str">
        <x:v>Protein synthesis</x:v>
      </x:c>
      <x:c r="E477" s="9" t="str">
        <x:v>SL/HL</x:v>
      </x:c>
      <x:c r="F477" s="9" t="str">
        <x:v>Pre-mRNA</x:v>
      </x:c>
      <x:c r="G477" s="9" t="str">
        <x:v>A newly transcribed eukaryotic messenger RNA precursor that still requires processing.</x:v>
      </x:c>
      <x:c r="H477" s="9" t="str">
        <x:v>OpenStax Biology 2e, 15 Genes and Proteins</x:v>
      </x:c>
      <x:c r="I477" s="9" t="str">
        <x:v>https://openstax.org/books/biology-2e/pages/15-introduction</x:v>
      </x:c>
      <x:c r="J477" s="9" t="str">
        <x:v>Verified</x:v>
      </x:c>
    </x:row>
    <x:row r="478" ht="42" customHeight="1">
      <x:c r="A478" s="8" t="str">
        <x:v>D1.2-07</x:v>
      </x:c>
      <x:c r="B478" s="8" t="str">
        <x:v>D1.2</x:v>
      </x:c>
      <x:c r="C478" s="9" t="str">
        <x:v>Continuity and change</x:v>
      </x:c>
      <x:c r="D478" s="9" t="str">
        <x:v>Protein synthesis</x:v>
      </x:c>
      <x:c r="E478" s="9" t="str">
        <x:v>SL/HL</x:v>
      </x:c>
      <x:c r="F478" s="9" t="str">
        <x:v>RNA processing</x:v>
      </x:c>
      <x:c r="G478" s="9" t="str">
        <x:v>Modification of a primary RNA transcript, including capping, polyadenylation, and splicing in eukaryotes.</x:v>
      </x:c>
      <x:c r="H478" s="9" t="str">
        <x:v>OpenStax Biology 2e, 15 Genes and Proteins</x:v>
      </x:c>
      <x:c r="I478" s="9" t="str">
        <x:v>https://openstax.org/books/biology-2e/pages/15-introduction</x:v>
      </x:c>
      <x:c r="J478" s="9" t="str">
        <x:v>Verified</x:v>
      </x:c>
    </x:row>
    <x:row r="479" ht="42" customHeight="1">
      <x:c r="A479" s="8" t="str">
        <x:v>D1.2-08</x:v>
      </x:c>
      <x:c r="B479" s="8" t="str">
        <x:v>D1.2</x:v>
      </x:c>
      <x:c r="C479" s="9" t="str">
        <x:v>Continuity and change</x:v>
      </x:c>
      <x:c r="D479" s="9" t="str">
        <x:v>Protein synthesis</x:v>
      </x:c>
      <x:c r="E479" s="9" t="str">
        <x:v>SL/HL</x:v>
      </x:c>
      <x:c r="F479" s="9" t="str">
        <x:v>Intron</x:v>
      </x:c>
      <x:c r="G479" s="9" t="str">
        <x:v>A transcribed sequence removed from a precursor RNA during splicing.</x:v>
      </x:c>
      <x:c r="H479" s="9" t="str">
        <x:v>OpenStax Biology 2e, 15 Genes and Proteins</x:v>
      </x:c>
      <x:c r="I479" s="9" t="str">
        <x:v>https://openstax.org/books/biology-2e/pages/15-introduction</x:v>
      </x:c>
      <x:c r="J479" s="9" t="str">
        <x:v>Verified</x:v>
      </x:c>
    </x:row>
    <x:row r="480" ht="42" customHeight="1">
      <x:c r="A480" s="8" t="str">
        <x:v>D1.2-09</x:v>
      </x:c>
      <x:c r="B480" s="8" t="str">
        <x:v>D1.2</x:v>
      </x:c>
      <x:c r="C480" s="9" t="str">
        <x:v>Continuity and change</x:v>
      </x:c>
      <x:c r="D480" s="9" t="str">
        <x:v>Protein synthesis</x:v>
      </x:c>
      <x:c r="E480" s="9" t="str">
        <x:v>SL/HL</x:v>
      </x:c>
      <x:c r="F480" s="9" t="str">
        <x:v>Exon</x:v>
      </x:c>
      <x:c r="G480" s="9" t="str">
        <x:v>A sequence retained in a mature RNA after splicing.</x:v>
      </x:c>
      <x:c r="H480" s="9" t="str">
        <x:v>OpenStax Biology 2e, 15 Genes and Proteins</x:v>
      </x:c>
      <x:c r="I480" s="9" t="str">
        <x:v>https://openstax.org/books/biology-2e/pages/15-introduction</x:v>
      </x:c>
      <x:c r="J480" s="9" t="str">
        <x:v>Verified</x:v>
      </x:c>
    </x:row>
    <x:row r="481" ht="42" customHeight="1">
      <x:c r="A481" s="8" t="str">
        <x:v>D1.2-10</x:v>
      </x:c>
      <x:c r="B481" s="8" t="str">
        <x:v>D1.2</x:v>
      </x:c>
      <x:c r="C481" s="9" t="str">
        <x:v>Continuity and change</x:v>
      </x:c>
      <x:c r="D481" s="9" t="str">
        <x:v>Protein synthesis</x:v>
      </x:c>
      <x:c r="E481" s="9" t="str">
        <x:v>SL/HL</x:v>
      </x:c>
      <x:c r="F481" s="9" t="str">
        <x:v>Spliceosome</x:v>
      </x:c>
      <x:c r="G481" s="9" t="str">
        <x:v>A complex of small nuclear RNAs and proteins that removes introns from pre-mRNA.</x:v>
      </x:c>
      <x:c r="H481" s="9" t="str">
        <x:v>OpenStax Biology 2e, 15 Genes and Proteins</x:v>
      </x:c>
      <x:c r="I481" s="9" t="str">
        <x:v>https://openstax.org/books/biology-2e/pages/15-introduction</x:v>
      </x:c>
      <x:c r="J481" s="9" t="str">
        <x:v>Verified</x:v>
      </x:c>
    </x:row>
    <x:row r="482" ht="42" customHeight="1">
      <x:c r="A482" s="8" t="str">
        <x:v>D1.2-11</x:v>
      </x:c>
      <x:c r="B482" s="8" t="str">
        <x:v>D1.2</x:v>
      </x:c>
      <x:c r="C482" s="9" t="str">
        <x:v>Continuity and change</x:v>
      </x:c>
      <x:c r="D482" s="9" t="str">
        <x:v>Protein synthesis</x:v>
      </x:c>
      <x:c r="E482" s="9" t="str">
        <x:v>SL/HL</x:v>
      </x:c>
      <x:c r="F482" s="9" t="str">
        <x:v>Mature mRNA</x:v>
      </x:c>
      <x:c r="G482" s="9" t="str">
        <x:v>A processed messenger RNA ready to be exported and translated in a eukaryotic cell.</x:v>
      </x:c>
      <x:c r="H482" s="9" t="str">
        <x:v>OpenStax Biology 2e, 15 Genes and Proteins</x:v>
      </x:c>
      <x:c r="I482" s="9" t="str">
        <x:v>https://openstax.org/books/biology-2e/pages/15-introduction</x:v>
      </x:c>
      <x:c r="J482" s="9" t="str">
        <x:v>Verified</x:v>
      </x:c>
    </x:row>
    <x:row r="483" ht="42" customHeight="1">
      <x:c r="A483" s="8" t="str">
        <x:v>D1.2-12</x:v>
      </x:c>
      <x:c r="B483" s="8" t="str">
        <x:v>D1.2</x:v>
      </x:c>
      <x:c r="C483" s="9" t="str">
        <x:v>Continuity and change</x:v>
      </x:c>
      <x:c r="D483" s="9" t="str">
        <x:v>Protein synthesis</x:v>
      </x:c>
      <x:c r="E483" s="9" t="str">
        <x:v>SL/HL</x:v>
      </x:c>
      <x:c r="F483" s="9" t="str">
        <x:v>Codon</x:v>
      </x:c>
      <x:c r="G483" s="9" t="str">
        <x:v>A three-nucleotide sequence in mRNA that specifies an amino acid or translation stop.</x:v>
      </x:c>
      <x:c r="H483" s="9" t="str">
        <x:v>OpenStax Biology 2e, 15 Genes and Proteins</x:v>
      </x:c>
      <x:c r="I483" s="9" t="str">
        <x:v>https://openstax.org/books/biology-2e/pages/15-introduction</x:v>
      </x:c>
      <x:c r="J483" s="9" t="str">
        <x:v>Verified</x:v>
      </x:c>
    </x:row>
    <x:row r="484" ht="42" customHeight="1">
      <x:c r="A484" s="8" t="str">
        <x:v>D1.2-13</x:v>
      </x:c>
      <x:c r="B484" s="8" t="str">
        <x:v>D1.2</x:v>
      </x:c>
      <x:c r="C484" s="9" t="str">
        <x:v>Continuity and change</x:v>
      </x:c>
      <x:c r="D484" s="9" t="str">
        <x:v>Protein synthesis</x:v>
      </x:c>
      <x:c r="E484" s="9" t="str">
        <x:v>SL/HL</x:v>
      </x:c>
      <x:c r="F484" s="9" t="str">
        <x:v>Genetic code</x:v>
      </x:c>
      <x:c r="G484" s="9" t="str">
        <x:v>The rules relating mRNA codons to amino acids and translation signals.</x:v>
      </x:c>
      <x:c r="H484" s="9" t="str">
        <x:v>OpenStax Biology 2e, 15 Genes and Proteins</x:v>
      </x:c>
      <x:c r="I484" s="9" t="str">
        <x:v>https://openstax.org/books/biology-2e/pages/15-introduction</x:v>
      </x:c>
      <x:c r="J484" s="9" t="str">
        <x:v>Verified</x:v>
      </x:c>
    </x:row>
    <x:row r="485" ht="42" customHeight="1">
      <x:c r="A485" s="8" t="str">
        <x:v>D1.2-14</x:v>
      </x:c>
      <x:c r="B485" s="8" t="str">
        <x:v>D1.2</x:v>
      </x:c>
      <x:c r="C485" s="9" t="str">
        <x:v>Continuity and change</x:v>
      </x:c>
      <x:c r="D485" s="9" t="str">
        <x:v>Protein synthesis</x:v>
      </x:c>
      <x:c r="E485" s="9" t="str">
        <x:v>SL/HL</x:v>
      </x:c>
      <x:c r="F485" s="9" t="str">
        <x:v>Translation</x:v>
      </x:c>
      <x:c r="G485" s="9" t="str">
        <x:v>Synthesis of a polypeptide as a ribosome reads the codon sequence of mRNA.</x:v>
      </x:c>
      <x:c r="H485" s="9" t="str">
        <x:v>OpenStax Biology 2e, 15 Genes and Proteins</x:v>
      </x:c>
      <x:c r="I485" s="9" t="str">
        <x:v>https://openstax.org/books/biology-2e/pages/15-introduction</x:v>
      </x:c>
      <x:c r="J485" s="9" t="str">
        <x:v>Verified</x:v>
      </x:c>
    </x:row>
    <x:row r="486" ht="42" customHeight="1">
      <x:c r="A486" s="8" t="str">
        <x:v>D1.2-15</x:v>
      </x:c>
      <x:c r="B486" s="8" t="str">
        <x:v>D1.2</x:v>
      </x:c>
      <x:c r="C486" s="9" t="str">
        <x:v>Continuity and change</x:v>
      </x:c>
      <x:c r="D486" s="9" t="str">
        <x:v>Protein synthesis</x:v>
      </x:c>
      <x:c r="E486" s="9" t="str">
        <x:v>SL/HL</x:v>
      </x:c>
      <x:c r="F486" s="9" t="str">
        <x:v>Transfer RNA (tRNA)</x:v>
      </x:c>
      <x:c r="G486" s="9" t="str">
        <x:v>An adaptor RNA that carries a specific amino acid and base-pairs with an mRNA codon.</x:v>
      </x:c>
      <x:c r="H486" s="9" t="str">
        <x:v>OpenStax Biology 2e, 15 Genes and Proteins</x:v>
      </x:c>
      <x:c r="I486" s="9" t="str">
        <x:v>https://openstax.org/books/biology-2e/pages/15-introduction</x:v>
      </x:c>
      <x:c r="J486" s="9" t="str">
        <x:v>Verified</x:v>
      </x:c>
    </x:row>
    <x:row r="487" ht="42" customHeight="1">
      <x:c r="A487" s="8" t="str">
        <x:v>D1.2-16</x:v>
      </x:c>
      <x:c r="B487" s="8" t="str">
        <x:v>D1.2</x:v>
      </x:c>
      <x:c r="C487" s="9" t="str">
        <x:v>Continuity and change</x:v>
      </x:c>
      <x:c r="D487" s="9" t="str">
        <x:v>Protein synthesis</x:v>
      </x:c>
      <x:c r="E487" s="9" t="str">
        <x:v>SL/HL</x:v>
      </x:c>
      <x:c r="F487" s="9" t="str">
        <x:v>Anticodon</x:v>
      </x:c>
      <x:c r="G487" s="9" t="str">
        <x:v>A three-nucleotide tRNA sequence that base-pairs antiparallel with a complementary mRNA codon.</x:v>
      </x:c>
      <x:c r="H487" s="9" t="str">
        <x:v>OpenStax Biology 2e, 15 Genes and Proteins</x:v>
      </x:c>
      <x:c r="I487" s="9" t="str">
        <x:v>https://openstax.org/books/biology-2e/pages/15-introduction</x:v>
      </x:c>
      <x:c r="J487" s="9" t="str">
        <x:v>Verified</x:v>
      </x:c>
    </x:row>
    <x:row r="488" ht="42" customHeight="1">
      <x:c r="A488" s="8" t="str">
        <x:v>D1.2-17</x:v>
      </x:c>
      <x:c r="B488" s="8" t="str">
        <x:v>D1.2</x:v>
      </x:c>
      <x:c r="C488" s="9" t="str">
        <x:v>Continuity and change</x:v>
      </x:c>
      <x:c r="D488" s="9" t="str">
        <x:v>Protein synthesis</x:v>
      </x:c>
      <x:c r="E488" s="9" t="str">
        <x:v>SL/HL</x:v>
      </x:c>
      <x:c r="F488" s="9" t="str">
        <x:v>Aminoacyl-tRNA synthetase</x:v>
      </x:c>
      <x:c r="G488" s="9" t="str">
        <x:v>An enzyme that attaches the correct amino acid to its corresponding tRNA.</x:v>
      </x:c>
      <x:c r="H488" s="9" t="str">
        <x:v>OpenStax Biology 2e, 15 Genes and Proteins</x:v>
      </x:c>
      <x:c r="I488" s="9" t="str">
        <x:v>https://openstax.org/books/biology-2e/pages/15-introduction</x:v>
      </x:c>
      <x:c r="J488" s="9" t="str">
        <x:v>Verified</x:v>
      </x:c>
    </x:row>
    <x:row r="489" ht="42" customHeight="1">
      <x:c r="A489" s="8" t="str">
        <x:v>D1.2-18</x:v>
      </x:c>
      <x:c r="B489" s="8" t="str">
        <x:v>D1.2</x:v>
      </x:c>
      <x:c r="C489" s="9" t="str">
        <x:v>Continuity and change</x:v>
      </x:c>
      <x:c r="D489" s="9" t="str">
        <x:v>Protein synthesis</x:v>
      </x:c>
      <x:c r="E489" s="9" t="str">
        <x:v>SL/HL</x:v>
      </x:c>
      <x:c r="F489" s="9" t="str">
        <x:v>Start codon</x:v>
      </x:c>
      <x:c r="G489" s="9" t="str">
        <x:v>The mRNA triplet AUG that establishes the reading frame and usually encodes methionine.</x:v>
      </x:c>
      <x:c r="H489" s="9" t="str">
        <x:v>OpenStax Biology 2e, 15 Genes and Proteins</x:v>
      </x:c>
      <x:c r="I489" s="9" t="str">
        <x:v>https://openstax.org/books/biology-2e/pages/15-introduction</x:v>
      </x:c>
      <x:c r="J489" s="9" t="str">
        <x:v>Verified</x:v>
      </x:c>
    </x:row>
    <x:row r="490" ht="42" customHeight="1">
      <x:c r="A490" s="8" t="str">
        <x:v>D1.2-19</x:v>
      </x:c>
      <x:c r="B490" s="8" t="str">
        <x:v>D1.2</x:v>
      </x:c>
      <x:c r="C490" s="9" t="str">
        <x:v>Continuity and change</x:v>
      </x:c>
      <x:c r="D490" s="9" t="str">
        <x:v>Protein synthesis</x:v>
      </x:c>
      <x:c r="E490" s="9" t="str">
        <x:v>SL/HL</x:v>
      </x:c>
      <x:c r="F490" s="9" t="str">
        <x:v>Stop codon</x:v>
      </x:c>
      <x:c r="G490" s="9" t="str">
        <x:v>An mRNA triplet that recruits a release factor instead of an aminoacyl-tRNA, ending translation.</x:v>
      </x:c>
      <x:c r="H490" s="9" t="str">
        <x:v>OpenStax Biology 2e, 15 Genes and Proteins</x:v>
      </x:c>
      <x:c r="I490" s="9" t="str">
        <x:v>https://openstax.org/books/biology-2e/pages/15-introduction</x:v>
      </x:c>
      <x:c r="J490" s="9" t="str">
        <x:v>Verified</x:v>
      </x:c>
    </x:row>
    <x:row r="491" ht="42" customHeight="1">
      <x:c r="A491" s="8" t="str">
        <x:v>D1.2-20</x:v>
      </x:c>
      <x:c r="B491" s="8" t="str">
        <x:v>D1.2</x:v>
      </x:c>
      <x:c r="C491" s="9" t="str">
        <x:v>Continuity and change</x:v>
      </x:c>
      <x:c r="D491" s="9" t="str">
        <x:v>Protein synthesis</x:v>
      </x:c>
      <x:c r="E491" s="9" t="str">
        <x:v>SL/HL</x:v>
      </x:c>
      <x:c r="F491" s="9" t="str">
        <x:v>Polysome</x:v>
      </x:c>
      <x:c r="G491" s="9" t="str">
        <x:v>Multiple ribosomes simultaneously translating the same mRNA molecule.</x:v>
      </x:c>
      <x:c r="H491" s="9" t="str">
        <x:v>OpenStax Biology 2e, 15 Genes and Proteins</x:v>
      </x:c>
      <x:c r="I491" s="9" t="str">
        <x:v>https://openstax.org/books/biology-2e/pages/15-introduction</x:v>
      </x:c>
      <x:c r="J491" s="9" t="str">
        <x:v>Verified</x:v>
      </x:c>
    </x:row>
    <x:row r="492" ht="42" customHeight="1">
      <x:c r="A492" s="8" t="str">
        <x:v>D1.3-01</x:v>
      </x:c>
      <x:c r="B492" s="8" t="str">
        <x:v>D1.3</x:v>
      </x:c>
      <x:c r="C492" s="9" t="str">
        <x:v>Continuity and change</x:v>
      </x:c>
      <x:c r="D492" s="9" t="str">
        <x:v>Mutations and gene editing</x:v>
      </x:c>
      <x:c r="E492" s="9" t="str">
        <x:v>SL/HL</x:v>
      </x:c>
      <x:c r="F492" s="9" t="str">
        <x:v>Mutation</x:v>
      </x:c>
      <x:c r="G492" s="9" t="str">
        <x:v>A heritable change in the nucleotide sequence of genetic material.</x:v>
      </x:c>
      <x:c r="H492" s="9" t="str">
        <x:v>NHGRI Genetics Glossary and Genome Editing</x:v>
      </x:c>
      <x:c r="I492" s="9" t="str">
        <x:v>https://www.genome.gov/about-genomics/policy-issues/what-is-Genome-Editing</x:v>
      </x:c>
      <x:c r="J492" s="9" t="str">
        <x:v>Verified</x:v>
      </x:c>
    </x:row>
    <x:row r="493" ht="42" customHeight="1">
      <x:c r="A493" s="8" t="str">
        <x:v>D1.3-02</x:v>
      </x:c>
      <x:c r="B493" s="8" t="str">
        <x:v>D1.3</x:v>
      </x:c>
      <x:c r="C493" s="9" t="str">
        <x:v>Continuity and change</x:v>
      </x:c>
      <x:c r="D493" s="9" t="str">
        <x:v>Mutations and gene editing</x:v>
      </x:c>
      <x:c r="E493" s="9" t="str">
        <x:v>SL/HL</x:v>
      </x:c>
      <x:c r="F493" s="9" t="str">
        <x:v>Point mutation</x:v>
      </x:c>
      <x:c r="G493" s="9" t="str">
        <x:v>A sequence change affecting a single nucleotide position.</x:v>
      </x:c>
      <x:c r="H493" s="9" t="str">
        <x:v>NHGRI Genetics Glossary and Genome Editing</x:v>
      </x:c>
      <x:c r="I493" s="9" t="str">
        <x:v>https://www.genome.gov/about-genomics/policy-issues/what-is-Genome-Editing</x:v>
      </x:c>
      <x:c r="J493" s="9" t="str">
        <x:v>Verified</x:v>
      </x:c>
    </x:row>
    <x:row r="494" ht="42" customHeight="1">
      <x:c r="A494" s="8" t="str">
        <x:v>D1.3-03</x:v>
      </x:c>
      <x:c r="B494" s="8" t="str">
        <x:v>D1.3</x:v>
      </x:c>
      <x:c r="C494" s="9" t="str">
        <x:v>Continuity and change</x:v>
      </x:c>
      <x:c r="D494" s="9" t="str">
        <x:v>Mutations and gene editing</x:v>
      </x:c>
      <x:c r="E494" s="9" t="str">
        <x:v>SL/HL</x:v>
      </x:c>
      <x:c r="F494" s="9" t="str">
        <x:v>Base substitution</x:v>
      </x:c>
      <x:c r="G494" s="9" t="str">
        <x:v>Replacement of one nucleotide pair by a different nucleotide pair.</x:v>
      </x:c>
      <x:c r="H494" s="9" t="str">
        <x:v>NHGRI Genetics Glossary and Genome Editing</x:v>
      </x:c>
      <x:c r="I494" s="9" t="str">
        <x:v>https://www.genome.gov/about-genomics/policy-issues/what-is-Genome-Editing</x:v>
      </x:c>
      <x:c r="J494" s="9" t="str">
        <x:v>Verified</x:v>
      </x:c>
    </x:row>
    <x:row r="495" ht="42" customHeight="1">
      <x:c r="A495" s="8" t="str">
        <x:v>D1.3-04</x:v>
      </x:c>
      <x:c r="B495" s="8" t="str">
        <x:v>D1.3</x:v>
      </x:c>
      <x:c r="C495" s="9" t="str">
        <x:v>Continuity and change</x:v>
      </x:c>
      <x:c r="D495" s="9" t="str">
        <x:v>Mutations and gene editing</x:v>
      </x:c>
      <x:c r="E495" s="9" t="str">
        <x:v>SL/HL</x:v>
      </x:c>
      <x:c r="F495" s="9" t="str">
        <x:v>Insertion mutation</x:v>
      </x:c>
      <x:c r="G495" s="9" t="str">
        <x:v>Addition of one or more nucleotides to a DNA sequence.</x:v>
      </x:c>
      <x:c r="H495" s="9" t="str">
        <x:v>NHGRI Genetics Glossary and Genome Editing</x:v>
      </x:c>
      <x:c r="I495" s="9" t="str">
        <x:v>https://www.genome.gov/about-genomics/policy-issues/what-is-Genome-Editing</x:v>
      </x:c>
      <x:c r="J495" s="9" t="str">
        <x:v>Verified</x:v>
      </x:c>
    </x:row>
    <x:row r="496" ht="42" customHeight="1">
      <x:c r="A496" s="8" t="str">
        <x:v>D1.3-05</x:v>
      </x:c>
      <x:c r="B496" s="8" t="str">
        <x:v>D1.3</x:v>
      </x:c>
      <x:c r="C496" s="9" t="str">
        <x:v>Continuity and change</x:v>
      </x:c>
      <x:c r="D496" s="9" t="str">
        <x:v>Mutations and gene editing</x:v>
      </x:c>
      <x:c r="E496" s="9" t="str">
        <x:v>SL/HL</x:v>
      </x:c>
      <x:c r="F496" s="9" t="str">
        <x:v>Deletion mutation</x:v>
      </x:c>
      <x:c r="G496" s="9" t="str">
        <x:v>Removal of one or more nucleotides from a DNA sequence.</x:v>
      </x:c>
      <x:c r="H496" s="9" t="str">
        <x:v>NHGRI Genetics Glossary and Genome Editing</x:v>
      </x:c>
      <x:c r="I496" s="9" t="str">
        <x:v>https://www.genome.gov/about-genomics/policy-issues/what-is-Genome-Editing</x:v>
      </x:c>
      <x:c r="J496" s="9" t="str">
        <x:v>Verified</x:v>
      </x:c>
    </x:row>
    <x:row r="497" ht="42" customHeight="1">
      <x:c r="A497" s="8" t="str">
        <x:v>D1.3-06</x:v>
      </x:c>
      <x:c r="B497" s="8" t="str">
        <x:v>D1.3</x:v>
      </x:c>
      <x:c r="C497" s="9" t="str">
        <x:v>Continuity and change</x:v>
      </x:c>
      <x:c r="D497" s="9" t="str">
        <x:v>Mutations and gene editing</x:v>
      </x:c>
      <x:c r="E497" s="9" t="str">
        <x:v>SL/HL</x:v>
      </x:c>
      <x:c r="F497" s="9" t="str">
        <x:v>Frameshift mutation</x:v>
      </x:c>
      <x:c r="G497" s="9" t="str">
        <x:v>An insertion or deletion not divisible by three that changes the downstream coding frame.</x:v>
      </x:c>
      <x:c r="H497" s="9" t="str">
        <x:v>NHGRI Genetics Glossary and Genome Editing</x:v>
      </x:c>
      <x:c r="I497" s="9" t="str">
        <x:v>https://www.genome.gov/about-genomics/policy-issues/what-is-Genome-Editing</x:v>
      </x:c>
      <x:c r="J497" s="9" t="str">
        <x:v>Verified</x:v>
      </x:c>
    </x:row>
    <x:row r="498" ht="42" customHeight="1">
      <x:c r="A498" s="8" t="str">
        <x:v>D1.3-07</x:v>
      </x:c>
      <x:c r="B498" s="8" t="str">
        <x:v>D1.3</x:v>
      </x:c>
      <x:c r="C498" s="9" t="str">
        <x:v>Continuity and change</x:v>
      </x:c>
      <x:c r="D498" s="9" t="str">
        <x:v>Mutations and gene editing</x:v>
      </x:c>
      <x:c r="E498" s="9" t="str">
        <x:v>SL/HL</x:v>
      </x:c>
      <x:c r="F498" s="9" t="str">
        <x:v>Silent mutation</x:v>
      </x:c>
      <x:c r="G498" s="9" t="str">
        <x:v>A coding-sequence change that does not alter the encoded amino acid.</x:v>
      </x:c>
      <x:c r="H498" s="9" t="str">
        <x:v>NHGRI Genetics Glossary and Genome Editing</x:v>
      </x:c>
      <x:c r="I498" s="9" t="str">
        <x:v>https://www.genome.gov/about-genomics/policy-issues/what-is-Genome-Editing</x:v>
      </x:c>
      <x:c r="J498" s="9" t="str">
        <x:v>Verified</x:v>
      </x:c>
    </x:row>
    <x:row r="499" ht="42" customHeight="1">
      <x:c r="A499" s="8" t="str">
        <x:v>D1.3-08</x:v>
      </x:c>
      <x:c r="B499" s="8" t="str">
        <x:v>D1.3</x:v>
      </x:c>
      <x:c r="C499" s="9" t="str">
        <x:v>Continuity and change</x:v>
      </x:c>
      <x:c r="D499" s="9" t="str">
        <x:v>Mutations and gene editing</x:v>
      </x:c>
      <x:c r="E499" s="9" t="str">
        <x:v>SL/HL</x:v>
      </x:c>
      <x:c r="F499" s="9" t="str">
        <x:v>Missense mutation</x:v>
      </x:c>
      <x:c r="G499" s="9" t="str">
        <x:v>A coding-sequence change that replaces one amino acid with another in a polypeptide.</x:v>
      </x:c>
      <x:c r="H499" s="9" t="str">
        <x:v>NHGRI Genetics Glossary and Genome Editing</x:v>
      </x:c>
      <x:c r="I499" s="9" t="str">
        <x:v>https://www.genome.gov/about-genomics/policy-issues/what-is-Genome-Editing</x:v>
      </x:c>
      <x:c r="J499" s="9" t="str">
        <x:v>Verified</x:v>
      </x:c>
    </x:row>
    <x:row r="500" ht="42" customHeight="1">
      <x:c r="A500" s="8" t="str">
        <x:v>D1.3-09</x:v>
      </x:c>
      <x:c r="B500" s="8" t="str">
        <x:v>D1.3</x:v>
      </x:c>
      <x:c r="C500" s="9" t="str">
        <x:v>Continuity and change</x:v>
      </x:c>
      <x:c r="D500" s="9" t="str">
        <x:v>Mutations and gene editing</x:v>
      </x:c>
      <x:c r="E500" s="9" t="str">
        <x:v>SL/HL</x:v>
      </x:c>
      <x:c r="F500" s="9" t="str">
        <x:v>Nonsense mutation</x:v>
      </x:c>
      <x:c r="G500" s="9" t="str">
        <x:v>A coding-sequence change that converts an amino-acid codon into a premature stop codon.</x:v>
      </x:c>
      <x:c r="H500" s="9" t="str">
        <x:v>NHGRI Genetics Glossary and Genome Editing</x:v>
      </x:c>
      <x:c r="I500" s="9" t="str">
        <x:v>https://www.genome.gov/about-genomics/policy-issues/what-is-Genome-Editing</x:v>
      </x:c>
      <x:c r="J500" s="9" t="str">
        <x:v>Verified</x:v>
      </x:c>
    </x:row>
    <x:row r="501" ht="42" customHeight="1">
      <x:c r="A501" s="8" t="str">
        <x:v>D1.3-10</x:v>
      </x:c>
      <x:c r="B501" s="8" t="str">
        <x:v>D1.3</x:v>
      </x:c>
      <x:c r="C501" s="9" t="str">
        <x:v>Continuity and change</x:v>
      </x:c>
      <x:c r="D501" s="9" t="str">
        <x:v>Mutations and gene editing</x:v>
      </x:c>
      <x:c r="E501" s="9" t="str">
        <x:v>SL/HL</x:v>
      </x:c>
      <x:c r="F501" s="9" t="str">
        <x:v>Mutagen</x:v>
      </x:c>
      <x:c r="G501" s="9" t="str">
        <x:v>A physical, chemical, or biological agent that increases mutation frequency.</x:v>
      </x:c>
      <x:c r="H501" s="9" t="str">
        <x:v>NHGRI Genetics Glossary and Genome Editing</x:v>
      </x:c>
      <x:c r="I501" s="9" t="str">
        <x:v>https://www.genome.gov/about-genomics/policy-issues/what-is-Genome-Editing</x:v>
      </x:c>
      <x:c r="J501" s="9" t="str">
        <x:v>Verified</x:v>
      </x:c>
    </x:row>
    <x:row r="502" ht="42" customHeight="1">
      <x:c r="A502" s="8" t="str">
        <x:v>D1.3-11</x:v>
      </x:c>
      <x:c r="B502" s="8" t="str">
        <x:v>D1.3</x:v>
      </x:c>
      <x:c r="C502" s="9" t="str">
        <x:v>Continuity and change</x:v>
      </x:c>
      <x:c r="D502" s="9" t="str">
        <x:v>Mutations and gene editing</x:v>
      </x:c>
      <x:c r="E502" s="9" t="str">
        <x:v>SL/HL</x:v>
      </x:c>
      <x:c r="F502" s="9" t="str">
        <x:v>Somatic mutation</x:v>
      </x:c>
      <x:c r="G502" s="9" t="str">
        <x:v>A sequence change in a non-germline cell that is passed to daughter cells but not normally to offspring.</x:v>
      </x:c>
      <x:c r="H502" s="9" t="str">
        <x:v>NHGRI Genetics Glossary and Genome Editing</x:v>
      </x:c>
      <x:c r="I502" s="9" t="str">
        <x:v>https://www.genome.gov/about-genomics/policy-issues/what-is-Genome-Editing</x:v>
      </x:c>
      <x:c r="J502" s="9" t="str">
        <x:v>Verified</x:v>
      </x:c>
    </x:row>
    <x:row r="503" ht="42" customHeight="1">
      <x:c r="A503" s="8" t="str">
        <x:v>D1.3-12</x:v>
      </x:c>
      <x:c r="B503" s="8" t="str">
        <x:v>D1.3</x:v>
      </x:c>
      <x:c r="C503" s="9" t="str">
        <x:v>Continuity and change</x:v>
      </x:c>
      <x:c r="D503" s="9" t="str">
        <x:v>Mutations and gene editing</x:v>
      </x:c>
      <x:c r="E503" s="9" t="str">
        <x:v>SL/HL</x:v>
      </x:c>
      <x:c r="F503" s="9" t="str">
        <x:v>Germline mutation</x:v>
      </x:c>
      <x:c r="G503" s="9" t="str">
        <x:v>A sequence change in a gamete-forming lineage that can be inherited by offspring.</x:v>
      </x:c>
      <x:c r="H503" s="9" t="str">
        <x:v>NHGRI Genetics Glossary and Genome Editing</x:v>
      </x:c>
      <x:c r="I503" s="9" t="str">
        <x:v>https://www.genome.gov/about-genomics/policy-issues/what-is-Genome-Editing</x:v>
      </x:c>
      <x:c r="J503" s="9" t="str">
        <x:v>Verified</x:v>
      </x:c>
    </x:row>
    <x:row r="504" ht="42" customHeight="1">
      <x:c r="A504" s="8" t="str">
        <x:v>D1.3-13</x:v>
      </x:c>
      <x:c r="B504" s="8" t="str">
        <x:v>D1.3</x:v>
      </x:c>
      <x:c r="C504" s="9" t="str">
        <x:v>Continuity and change</x:v>
      </x:c>
      <x:c r="D504" s="9" t="str">
        <x:v>Mutations and gene editing</x:v>
      </x:c>
      <x:c r="E504" s="9" t="str">
        <x:v>SL/HL</x:v>
      </x:c>
      <x:c r="F504" s="9" t="str">
        <x:v>CRISPR–Cas9</x:v>
      </x:c>
      <x:c r="G504" s="9" t="str">
        <x:v>A genome-editing system in which guide RNA directs a Cas9 nuclease to a chosen DNA target.</x:v>
      </x:c>
      <x:c r="H504" s="9" t="str">
        <x:v>NHGRI Genetics Glossary and Genome Editing</x:v>
      </x:c>
      <x:c r="I504" s="9" t="str">
        <x:v>https://www.genome.gov/about-genomics/policy-issues/what-is-Genome-Editing</x:v>
      </x:c>
      <x:c r="J504" s="9" t="str">
        <x:v>Verified</x:v>
      </x:c>
    </x:row>
    <x:row r="505" ht="42" customHeight="1">
      <x:c r="A505" s="8" t="str">
        <x:v>D1.3-14</x:v>
      </x:c>
      <x:c r="B505" s="8" t="str">
        <x:v>D1.3</x:v>
      </x:c>
      <x:c r="C505" s="9" t="str">
        <x:v>Continuity and change</x:v>
      </x:c>
      <x:c r="D505" s="9" t="str">
        <x:v>Mutations and gene editing</x:v>
      </x:c>
      <x:c r="E505" s="9" t="str">
        <x:v>SL/HL</x:v>
      </x:c>
      <x:c r="F505" s="9" t="str">
        <x:v>Guide RNA</x:v>
      </x:c>
      <x:c r="G505" s="9" t="str">
        <x:v>An engineered RNA that base-pairs with target DNA and positions a CRISPR-associated nuclease.</x:v>
      </x:c>
      <x:c r="H505" s="9" t="str">
        <x:v>NHGRI Genetics Glossary and Genome Editing</x:v>
      </x:c>
      <x:c r="I505" s="9" t="str">
        <x:v>https://www.genome.gov/about-genomics/policy-issues/what-is-Genome-Editing</x:v>
      </x:c>
      <x:c r="J505" s="9" t="str">
        <x:v>Verified</x:v>
      </x:c>
    </x:row>
    <x:row r="506" ht="42" customHeight="1">
      <x:c r="A506" s="8" t="str">
        <x:v>D1.3-15</x:v>
      </x:c>
      <x:c r="B506" s="8" t="str">
        <x:v>D1.3</x:v>
      </x:c>
      <x:c r="C506" s="9" t="str">
        <x:v>Continuity and change</x:v>
      </x:c>
      <x:c r="D506" s="9" t="str">
        <x:v>Mutations and gene editing</x:v>
      </x:c>
      <x:c r="E506" s="9" t="str">
        <x:v>SL/HL</x:v>
      </x:c>
      <x:c r="F506" s="9" t="str">
        <x:v>Cas9 nuclease</x:v>
      </x:c>
      <x:c r="G506" s="9" t="str">
        <x:v>An RNA-guided enzyme that cuts both strands of target DNA near a suitable PAM sequence.</x:v>
      </x:c>
      <x:c r="H506" s="9" t="str">
        <x:v>NHGRI Genetics Glossary and Genome Editing</x:v>
      </x:c>
      <x:c r="I506" s="9" t="str">
        <x:v>https://www.genome.gov/about-genomics/policy-issues/what-is-Genome-Editing</x:v>
      </x:c>
      <x:c r="J506" s="9" t="str">
        <x:v>Verified</x:v>
      </x:c>
    </x:row>
    <x:row r="507" ht="42" customHeight="1">
      <x:c r="A507" s="8" t="str">
        <x:v>D1.3-16</x:v>
      </x:c>
      <x:c r="B507" s="8" t="str">
        <x:v>D1.3</x:v>
      </x:c>
      <x:c r="C507" s="9" t="str">
        <x:v>Continuity and change</x:v>
      </x:c>
      <x:c r="D507" s="9" t="str">
        <x:v>Mutations and gene editing</x:v>
      </x:c>
      <x:c r="E507" s="9" t="str">
        <x:v>SL/HL</x:v>
      </x:c>
      <x:c r="F507" s="9" t="str">
        <x:v>PAM sequence</x:v>
      </x:c>
      <x:c r="G507" s="9" t="str">
        <x:v>A short DNA motif adjacent to a target that is required for binding and cutting by a CRISPR nuclease.</x:v>
      </x:c>
      <x:c r="H507" s="9" t="str">
        <x:v>NHGRI Genetics Glossary and Genome Editing</x:v>
      </x:c>
      <x:c r="I507" s="9" t="str">
        <x:v>https://www.genome.gov/about-genomics/policy-issues/what-is-Genome-Editing</x:v>
      </x:c>
      <x:c r="J507" s="9" t="str">
        <x:v>Verified</x:v>
      </x:c>
    </x:row>
    <x:row r="508" ht="42" customHeight="1">
      <x:c r="A508" s="8" t="str">
        <x:v>D1.3-17</x:v>
      </x:c>
      <x:c r="B508" s="8" t="str">
        <x:v>D1.3</x:v>
      </x:c>
      <x:c r="C508" s="9" t="str">
        <x:v>Continuity and change</x:v>
      </x:c>
      <x:c r="D508" s="9" t="str">
        <x:v>Mutations and gene editing</x:v>
      </x:c>
      <x:c r="E508" s="9" t="str">
        <x:v>SL/HL</x:v>
      </x:c>
      <x:c r="F508" s="9" t="str">
        <x:v>Gene knockout</x:v>
      </x:c>
      <x:c r="G508" s="9" t="str">
        <x:v>Deliberate disruption or removal of a gene to prevent production of its functional product.</x:v>
      </x:c>
      <x:c r="H508" s="9" t="str">
        <x:v>NHGRI Genetics Glossary and Genome Editing</x:v>
      </x:c>
      <x:c r="I508" s="9" t="str">
        <x:v>https://www.genome.gov/about-genomics/policy-issues/what-is-Genome-Editing</x:v>
      </x:c>
      <x:c r="J508" s="9" t="str">
        <x:v>Verified</x:v>
      </x:c>
    </x:row>
    <x:row r="509" ht="42" customHeight="1">
      <x:c r="A509" s="8" t="str">
        <x:v>D1.3-18</x:v>
      </x:c>
      <x:c r="B509" s="8" t="str">
        <x:v>D1.3</x:v>
      </x:c>
      <x:c r="C509" s="9" t="str">
        <x:v>Continuity and change</x:v>
      </x:c>
      <x:c r="D509" s="9" t="str">
        <x:v>Mutations and gene editing</x:v>
      </x:c>
      <x:c r="E509" s="9" t="str">
        <x:v>SL/HL</x:v>
      </x:c>
      <x:c r="F509" s="9" t="str">
        <x:v>Off-target edit</x:v>
      </x:c>
      <x:c r="G509" s="9" t="str">
        <x:v>An unintended genome change at a sequence resembling the intended editing target.</x:v>
      </x:c>
      <x:c r="H509" s="9" t="str">
        <x:v>NHGRI Genetics Glossary and Genome Editing</x:v>
      </x:c>
      <x:c r="I509" s="9" t="str">
        <x:v>https://www.genome.gov/about-genomics/policy-issues/what-is-Genome-Editing</x:v>
      </x:c>
      <x:c r="J509" s="9" t="str">
        <x:v>Verified</x:v>
      </x:c>
    </x:row>
    <x:row r="510" ht="42" customHeight="1">
      <x:c r="A510" s="8" t="str">
        <x:v>D2.1-01</x:v>
      </x:c>
      <x:c r="B510" s="8" t="str">
        <x:v>D2.1</x:v>
      </x:c>
      <x:c r="C510" s="9" t="str">
        <x:v>Continuity and change</x:v>
      </x:c>
      <x:c r="D510" s="9" t="str">
        <x:v>Cell and nuclear division</x:v>
      </x:c>
      <x:c r="E510" s="9" t="str">
        <x:v>SL/HL</x:v>
      </x:c>
      <x:c r="F510" s="9" t="str">
        <x:v>Cell cycle</x:v>
      </x:c>
      <x:c r="G510" s="9" t="str">
        <x:v>The ordered sequence of cell growth, DNA replication, nuclear division, and cell division.</x:v>
      </x:c>
      <x:c r="H510" s="9" t="str">
        <x:v>OpenStax Biology 2e, 10 Cell Reproduction</x:v>
      </x:c>
      <x:c r="I510" s="9" t="str">
        <x:v>https://openstax.org/books/biology-2e/pages/10-introduction</x:v>
      </x:c>
      <x:c r="J510" s="9" t="str">
        <x:v>Verified</x:v>
      </x:c>
    </x:row>
    <x:row r="511" ht="42" customHeight="1">
      <x:c r="A511" s="8" t="str">
        <x:v>D2.1-02</x:v>
      </x:c>
      <x:c r="B511" s="8" t="str">
        <x:v>D2.1</x:v>
      </x:c>
      <x:c r="C511" s="9" t="str">
        <x:v>Continuity and change</x:v>
      </x:c>
      <x:c r="D511" s="9" t="str">
        <x:v>Cell and nuclear division</x:v>
      </x:c>
      <x:c r="E511" s="9" t="str">
        <x:v>SL/HL</x:v>
      </x:c>
      <x:c r="F511" s="9" t="str">
        <x:v>Interphase</x:v>
      </x:c>
      <x:c r="G511" s="9" t="str">
        <x:v>The cell-cycle period comprising G1, S, and G2, when a cell grows and duplicates its DNA.</x:v>
      </x:c>
      <x:c r="H511" s="9" t="str">
        <x:v>OpenStax Biology 2e, 10 Cell Reproduction</x:v>
      </x:c>
      <x:c r="I511" s="9" t="str">
        <x:v>https://openstax.org/books/biology-2e/pages/10-introduction</x:v>
      </x:c>
      <x:c r="J511" s="9" t="str">
        <x:v>Verified</x:v>
      </x:c>
    </x:row>
    <x:row r="512" ht="42" customHeight="1">
      <x:c r="A512" s="8" t="str">
        <x:v>D2.1-03</x:v>
      </x:c>
      <x:c r="B512" s="8" t="str">
        <x:v>D2.1</x:v>
      </x:c>
      <x:c r="C512" s="9" t="str">
        <x:v>Continuity and change</x:v>
      </x:c>
      <x:c r="D512" s="9" t="str">
        <x:v>Cell and nuclear division</x:v>
      </x:c>
      <x:c r="E512" s="9" t="str">
        <x:v>SL/HL</x:v>
      </x:c>
      <x:c r="F512" s="9" t="str">
        <x:v>G1 phase</x:v>
      </x:c>
      <x:c r="G512" s="9" t="str">
        <x:v>The first gap phase, when a cell grows and carries out normal functions before DNA synthesis.</x:v>
      </x:c>
      <x:c r="H512" s="9" t="str">
        <x:v>OpenStax Biology 2e, 10 Cell Reproduction</x:v>
      </x:c>
      <x:c r="I512" s="9" t="str">
        <x:v>https://openstax.org/books/biology-2e/pages/10-introduction</x:v>
      </x:c>
      <x:c r="J512" s="9" t="str">
        <x:v>Verified</x:v>
      </x:c>
    </x:row>
    <x:row r="513" ht="42" customHeight="1">
      <x:c r="A513" s="8" t="str">
        <x:v>D2.1-04</x:v>
      </x:c>
      <x:c r="B513" s="8" t="str">
        <x:v>D2.1</x:v>
      </x:c>
      <x:c r="C513" s="9" t="str">
        <x:v>Continuity and change</x:v>
      </x:c>
      <x:c r="D513" s="9" t="str">
        <x:v>Cell and nuclear division</x:v>
      </x:c>
      <x:c r="E513" s="9" t="str">
        <x:v>SL/HL</x:v>
      </x:c>
      <x:c r="F513" s="9" t="str">
        <x:v>S phase</x:v>
      </x:c>
      <x:c r="G513" s="9" t="str">
        <x:v>The interphase stage during which nuclear DNA is replicated.</x:v>
      </x:c>
      <x:c r="H513" s="9" t="str">
        <x:v>OpenStax Biology 2e, 10 Cell Reproduction</x:v>
      </x:c>
      <x:c r="I513" s="9" t="str">
        <x:v>https://openstax.org/books/biology-2e/pages/10-introduction</x:v>
      </x:c>
      <x:c r="J513" s="9" t="str">
        <x:v>Verified</x:v>
      </x:c>
    </x:row>
    <x:row r="514" ht="42" customHeight="1">
      <x:c r="A514" s="8" t="str">
        <x:v>D2.1-05</x:v>
      </x:c>
      <x:c r="B514" s="8" t="str">
        <x:v>D2.1</x:v>
      </x:c>
      <x:c r="C514" s="9" t="str">
        <x:v>Continuity and change</x:v>
      </x:c>
      <x:c r="D514" s="9" t="str">
        <x:v>Cell and nuclear division</x:v>
      </x:c>
      <x:c r="E514" s="9" t="str">
        <x:v>SL/HL</x:v>
      </x:c>
      <x:c r="F514" s="9" t="str">
        <x:v>G2 phase</x:v>
      </x:c>
      <x:c r="G514" s="9" t="str">
        <x:v>The second gap phase, when a cell prepares for nuclear division after DNA replication.</x:v>
      </x:c>
      <x:c r="H514" s="9" t="str">
        <x:v>OpenStax Biology 2e, 10 Cell Reproduction</x:v>
      </x:c>
      <x:c r="I514" s="9" t="str">
        <x:v>https://openstax.org/books/biology-2e/pages/10-introduction</x:v>
      </x:c>
      <x:c r="J514" s="9" t="str">
        <x:v>Verified</x:v>
      </x:c>
    </x:row>
    <x:row r="515" ht="42" customHeight="1">
      <x:c r="A515" s="8" t="str">
        <x:v>D2.1-06</x:v>
      </x:c>
      <x:c r="B515" s="8" t="str">
        <x:v>D2.1</x:v>
      </x:c>
      <x:c r="C515" s="9" t="str">
        <x:v>Continuity and change</x:v>
      </x:c>
      <x:c r="D515" s="9" t="str">
        <x:v>Cell and nuclear division</x:v>
      </x:c>
      <x:c r="E515" s="9" t="str">
        <x:v>SL/HL</x:v>
      </x:c>
      <x:c r="F515" s="9" t="str">
        <x:v>Mitosis</x:v>
      </x:c>
      <x:c r="G515" s="9" t="str">
        <x:v>Division of a eukaryotic nucleus that ordinarily produces genetically equivalent daughter nuclei.</x:v>
      </x:c>
      <x:c r="H515" s="9" t="str">
        <x:v>OpenStax Biology 2e, 10 Cell Reproduction</x:v>
      </x:c>
      <x:c r="I515" s="9" t="str">
        <x:v>https://openstax.org/books/biology-2e/pages/10-introduction</x:v>
      </x:c>
      <x:c r="J515" s="9" t="str">
        <x:v>Verified</x:v>
      </x:c>
    </x:row>
    <x:row r="516" ht="42" customHeight="1">
      <x:c r="A516" s="8" t="str">
        <x:v>D2.1-07</x:v>
      </x:c>
      <x:c r="B516" s="8" t="str">
        <x:v>D2.1</x:v>
      </x:c>
      <x:c r="C516" s="9" t="str">
        <x:v>Continuity and change</x:v>
      </x:c>
      <x:c r="D516" s="9" t="str">
        <x:v>Cell and nuclear division</x:v>
      </x:c>
      <x:c r="E516" s="9" t="str">
        <x:v>SL/HL</x:v>
      </x:c>
      <x:c r="F516" s="9" t="str">
        <x:v>Prophase</x:v>
      </x:c>
      <x:c r="G516" s="9" t="str">
        <x:v>The mitotic stage when chromosomes condense and the spindle begins to form.</x:v>
      </x:c>
      <x:c r="H516" s="9" t="str">
        <x:v>OpenStax Biology 2e, 10 Cell Reproduction</x:v>
      </x:c>
      <x:c r="I516" s="9" t="str">
        <x:v>https://openstax.org/books/biology-2e/pages/10-introduction</x:v>
      </x:c>
      <x:c r="J516" s="9" t="str">
        <x:v>Verified</x:v>
      </x:c>
    </x:row>
    <x:row r="517" ht="42" customHeight="1">
      <x:c r="A517" s="8" t="str">
        <x:v>D2.1-08</x:v>
      </x:c>
      <x:c r="B517" s="8" t="str">
        <x:v>D2.1</x:v>
      </x:c>
      <x:c r="C517" s="9" t="str">
        <x:v>Continuity and change</x:v>
      </x:c>
      <x:c r="D517" s="9" t="str">
        <x:v>Cell and nuclear division</x:v>
      </x:c>
      <x:c r="E517" s="9" t="str">
        <x:v>SL/HL</x:v>
      </x:c>
      <x:c r="F517" s="9" t="str">
        <x:v>Metaphase</x:v>
      </x:c>
      <x:c r="G517" s="9" t="str">
        <x:v>The mitotic stage when duplicated chromosomes align at the spindle equator.</x:v>
      </x:c>
      <x:c r="H517" s="9" t="str">
        <x:v>OpenStax Biology 2e, 10 Cell Reproduction</x:v>
      </x:c>
      <x:c r="I517" s="9" t="str">
        <x:v>https://openstax.org/books/biology-2e/pages/10-introduction</x:v>
      </x:c>
      <x:c r="J517" s="9" t="str">
        <x:v>Verified</x:v>
      </x:c>
    </x:row>
    <x:row r="518" ht="42" customHeight="1">
      <x:c r="A518" s="8" t="str">
        <x:v>D2.1-09</x:v>
      </x:c>
      <x:c r="B518" s="8" t="str">
        <x:v>D2.1</x:v>
      </x:c>
      <x:c r="C518" s="9" t="str">
        <x:v>Continuity and change</x:v>
      </x:c>
      <x:c r="D518" s="9" t="str">
        <x:v>Cell and nuclear division</x:v>
      </x:c>
      <x:c r="E518" s="9" t="str">
        <x:v>SL/HL</x:v>
      </x:c>
      <x:c r="F518" s="9" t="str">
        <x:v>Anaphase</x:v>
      </x:c>
      <x:c r="G518" s="9" t="str">
        <x:v>The mitotic stage when sister chromatids separate and move toward opposite poles.</x:v>
      </x:c>
      <x:c r="H518" s="9" t="str">
        <x:v>OpenStax Biology 2e, 10 Cell Reproduction</x:v>
      </x:c>
      <x:c r="I518" s="9" t="str">
        <x:v>https://openstax.org/books/biology-2e/pages/10-introduction</x:v>
      </x:c>
      <x:c r="J518" s="9" t="str">
        <x:v>Verified</x:v>
      </x:c>
    </x:row>
    <x:row r="519" ht="42" customHeight="1">
      <x:c r="A519" s="8" t="str">
        <x:v>D2.1-10</x:v>
      </x:c>
      <x:c r="B519" s="8" t="str">
        <x:v>D2.1</x:v>
      </x:c>
      <x:c r="C519" s="9" t="str">
        <x:v>Continuity and change</x:v>
      </x:c>
      <x:c r="D519" s="9" t="str">
        <x:v>Cell and nuclear division</x:v>
      </x:c>
      <x:c r="E519" s="9" t="str">
        <x:v>SL/HL</x:v>
      </x:c>
      <x:c r="F519" s="9" t="str">
        <x:v>Telophase</x:v>
      </x:c>
      <x:c r="G519" s="9" t="str">
        <x:v>The mitotic stage when chromosomes arrive at poles, decondense, and new nuclear envelopes form.</x:v>
      </x:c>
      <x:c r="H519" s="9" t="str">
        <x:v>OpenStax Biology 2e, 10 Cell Reproduction</x:v>
      </x:c>
      <x:c r="I519" s="9" t="str">
        <x:v>https://openstax.org/books/biology-2e/pages/10-introduction</x:v>
      </x:c>
      <x:c r="J519" s="9" t="str">
        <x:v>Verified</x:v>
      </x:c>
    </x:row>
    <x:row r="520" ht="42" customHeight="1">
      <x:c r="A520" s="8" t="str">
        <x:v>D2.1-11</x:v>
      </x:c>
      <x:c r="B520" s="8" t="str">
        <x:v>D2.1</x:v>
      </x:c>
      <x:c r="C520" s="9" t="str">
        <x:v>Continuity and change</x:v>
      </x:c>
      <x:c r="D520" s="9" t="str">
        <x:v>Cell and nuclear division</x:v>
      </x:c>
      <x:c r="E520" s="9" t="str">
        <x:v>SL/HL</x:v>
      </x:c>
      <x:c r="F520" s="9" t="str">
        <x:v>Cytokinesis</x:v>
      </x:c>
      <x:c r="G520" s="9" t="str">
        <x:v>Physical division of a cell’s cytoplasm into separate daughter cells.</x:v>
      </x:c>
      <x:c r="H520" s="9" t="str">
        <x:v>OpenStax Biology 2e, 10 Cell Reproduction</x:v>
      </x:c>
      <x:c r="I520" s="9" t="str">
        <x:v>https://openstax.org/books/biology-2e/pages/10-introduction</x:v>
      </x:c>
      <x:c r="J520" s="9" t="str">
        <x:v>Verified</x:v>
      </x:c>
    </x:row>
    <x:row r="521" ht="42" customHeight="1">
      <x:c r="A521" s="8" t="str">
        <x:v>D2.1-12</x:v>
      </x:c>
      <x:c r="B521" s="8" t="str">
        <x:v>D2.1</x:v>
      </x:c>
      <x:c r="C521" s="9" t="str">
        <x:v>Continuity and change</x:v>
      </x:c>
      <x:c r="D521" s="9" t="str">
        <x:v>Cell and nuclear division</x:v>
      </x:c>
      <x:c r="E521" s="9" t="str">
        <x:v>SL/HL</x:v>
      </x:c>
      <x:c r="F521" s="9" t="str">
        <x:v>Chromosome</x:v>
      </x:c>
      <x:c r="G521" s="9" t="str">
        <x:v>One continuous DNA molecule with associated proteins, carrying part of a cell’s genetic information.</x:v>
      </x:c>
      <x:c r="H521" s="9" t="str">
        <x:v>OpenStax Biology 2e, 10 Cell Reproduction</x:v>
      </x:c>
      <x:c r="I521" s="9" t="str">
        <x:v>https://openstax.org/books/biology-2e/pages/10-introduction</x:v>
      </x:c>
      <x:c r="J521" s="9" t="str">
        <x:v>Verified</x:v>
      </x:c>
    </x:row>
    <x:row r="522" ht="42" customHeight="1">
      <x:c r="A522" s="8" t="str">
        <x:v>D2.1-13</x:v>
      </x:c>
      <x:c r="B522" s="8" t="str">
        <x:v>D2.1</x:v>
      </x:c>
      <x:c r="C522" s="9" t="str">
        <x:v>Continuity and change</x:v>
      </x:c>
      <x:c r="D522" s="9" t="str">
        <x:v>Cell and nuclear division</x:v>
      </x:c>
      <x:c r="E522" s="9" t="str">
        <x:v>SL/HL</x:v>
      </x:c>
      <x:c r="F522" s="9" t="str">
        <x:v>Sister chromatid</x:v>
      </x:c>
      <x:c r="G522" s="9" t="str">
        <x:v>One of two replicated chromosome copies joined before their separation during division.</x:v>
      </x:c>
      <x:c r="H522" s="9" t="str">
        <x:v>OpenStax Biology 2e, 10 Cell Reproduction</x:v>
      </x:c>
      <x:c r="I522" s="9" t="str">
        <x:v>https://openstax.org/books/biology-2e/pages/10-introduction</x:v>
      </x:c>
      <x:c r="J522" s="9" t="str">
        <x:v>Verified</x:v>
      </x:c>
    </x:row>
    <x:row r="523" ht="42" customHeight="1">
      <x:c r="A523" s="8" t="str">
        <x:v>D2.1-14</x:v>
      </x:c>
      <x:c r="B523" s="8" t="str">
        <x:v>D2.1</x:v>
      </x:c>
      <x:c r="C523" s="9" t="str">
        <x:v>Continuity and change</x:v>
      </x:c>
      <x:c r="D523" s="9" t="str">
        <x:v>Cell and nuclear division</x:v>
      </x:c>
      <x:c r="E523" s="9" t="str">
        <x:v>SL/HL</x:v>
      </x:c>
      <x:c r="F523" s="9" t="str">
        <x:v>Centromere</x:v>
      </x:c>
      <x:c r="G523" s="9" t="str">
        <x:v>A chromosome region that holds sister chromatids together and supports kinetochore assembly.</x:v>
      </x:c>
      <x:c r="H523" s="9" t="str">
        <x:v>OpenStax Biology 2e, 10 Cell Reproduction</x:v>
      </x:c>
      <x:c r="I523" s="9" t="str">
        <x:v>https://openstax.org/books/biology-2e/pages/10-introduction</x:v>
      </x:c>
      <x:c r="J523" s="9" t="str">
        <x:v>Verified</x:v>
      </x:c>
    </x:row>
    <x:row r="524" ht="42" customHeight="1">
      <x:c r="A524" s="8" t="str">
        <x:v>D2.1-15</x:v>
      </x:c>
      <x:c r="B524" s="8" t="str">
        <x:v>D2.1</x:v>
      </x:c>
      <x:c r="C524" s="9" t="str">
        <x:v>Continuity and change</x:v>
      </x:c>
      <x:c r="D524" s="9" t="str">
        <x:v>Cell and nuclear division</x:v>
      </x:c>
      <x:c r="E524" s="9" t="str">
        <x:v>SL/HL</x:v>
      </x:c>
      <x:c r="F524" s="9" t="str">
        <x:v>Kinetochore</x:v>
      </x:c>
      <x:c r="G524" s="9" t="str">
        <x:v>A protein structure assembled at a centromere where spindle microtubules attach.</x:v>
      </x:c>
      <x:c r="H524" s="9" t="str">
        <x:v>OpenStax Biology 2e, 10 Cell Reproduction</x:v>
      </x:c>
      <x:c r="I524" s="9" t="str">
        <x:v>https://openstax.org/books/biology-2e/pages/10-introduction</x:v>
      </x:c>
      <x:c r="J524" s="9" t="str">
        <x:v>Verified</x:v>
      </x:c>
    </x:row>
    <x:row r="525" ht="42" customHeight="1">
      <x:c r="A525" s="8" t="str">
        <x:v>D2.1-16</x:v>
      </x:c>
      <x:c r="B525" s="8" t="str">
        <x:v>D2.1</x:v>
      </x:c>
      <x:c r="C525" s="9" t="str">
        <x:v>Continuity and change</x:v>
      </x:c>
      <x:c r="D525" s="9" t="str">
        <x:v>Cell and nuclear division</x:v>
      </x:c>
      <x:c r="E525" s="9" t="str">
        <x:v>SL/HL</x:v>
      </x:c>
      <x:c r="F525" s="9" t="str">
        <x:v>Mitotic spindle</x:v>
      </x:c>
      <x:c r="G525" s="9" t="str">
        <x:v>A microtubule-based apparatus that organizes and separates chromosomes during nuclear division.</x:v>
      </x:c>
      <x:c r="H525" s="9" t="str">
        <x:v>OpenStax Biology 2e, 10 Cell Reproduction</x:v>
      </x:c>
      <x:c r="I525" s="9" t="str">
        <x:v>https://openstax.org/books/biology-2e/pages/10-introduction</x:v>
      </x:c>
      <x:c r="J525" s="9" t="str">
        <x:v>Verified</x:v>
      </x:c>
    </x:row>
    <x:row r="526" ht="42" customHeight="1">
      <x:c r="A526" s="8" t="str">
        <x:v>D2.1-17</x:v>
      </x:c>
      <x:c r="B526" s="8" t="str">
        <x:v>D2.1</x:v>
      </x:c>
      <x:c r="C526" s="9" t="str">
        <x:v>Continuity and change</x:v>
      </x:c>
      <x:c r="D526" s="9" t="str">
        <x:v>Cell and nuclear division</x:v>
      </x:c>
      <x:c r="E526" s="9" t="str">
        <x:v>SL/HL</x:v>
      </x:c>
      <x:c r="F526" s="9" t="str">
        <x:v>Meiosis</x:v>
      </x:c>
      <x:c r="G526" s="9" t="str">
        <x:v>Two nuclear divisions after one DNA replication that usually produce four genetically varied haploid cells.</x:v>
      </x:c>
      <x:c r="H526" s="9" t="str">
        <x:v>OpenStax Biology 2e, 10 Cell Reproduction</x:v>
      </x:c>
      <x:c r="I526" s="9" t="str">
        <x:v>https://openstax.org/books/biology-2e/pages/10-introduction</x:v>
      </x:c>
      <x:c r="J526" s="9" t="str">
        <x:v>Verified</x:v>
      </x:c>
    </x:row>
    <x:row r="527" ht="42" customHeight="1">
      <x:c r="A527" s="8" t="str">
        <x:v>D2.1-18</x:v>
      </x:c>
      <x:c r="B527" s="8" t="str">
        <x:v>D2.1</x:v>
      </x:c>
      <x:c r="C527" s="9" t="str">
        <x:v>Continuity and change</x:v>
      </x:c>
      <x:c r="D527" s="9" t="str">
        <x:v>Cell and nuclear division</x:v>
      </x:c>
      <x:c r="E527" s="9" t="str">
        <x:v>SL/HL</x:v>
      </x:c>
      <x:c r="F527" s="9" t="str">
        <x:v>Homologous chromosomes</x:v>
      </x:c>
      <x:c r="G527" s="9" t="str">
        <x:v>A maternal and paternal chromosome pair carrying the same genes at corresponding loci.</x:v>
      </x:c>
      <x:c r="H527" s="9" t="str">
        <x:v>OpenStax Biology 2e, 10 Cell Reproduction</x:v>
      </x:c>
      <x:c r="I527" s="9" t="str">
        <x:v>https://openstax.org/books/biology-2e/pages/10-introduction</x:v>
      </x:c>
      <x:c r="J527" s="9" t="str">
        <x:v>Verified</x:v>
      </x:c>
    </x:row>
    <x:row r="528" ht="42" customHeight="1">
      <x:c r="A528" s="8" t="str">
        <x:v>D2.1-19</x:v>
      </x:c>
      <x:c r="B528" s="8" t="str">
        <x:v>D2.1</x:v>
      </x:c>
      <x:c r="C528" s="9" t="str">
        <x:v>Continuity and change</x:v>
      </x:c>
      <x:c r="D528" s="9" t="str">
        <x:v>Cell and nuclear division</x:v>
      </x:c>
      <x:c r="E528" s="9" t="str">
        <x:v>SL/HL</x:v>
      </x:c>
      <x:c r="F528" s="9" t="str">
        <x:v>Synapsis</x:v>
      </x:c>
      <x:c r="G528" s="9" t="str">
        <x:v>Pairing of homologous chromosomes during prophase I of meiosis.</x:v>
      </x:c>
      <x:c r="H528" s="9" t="str">
        <x:v>OpenStax Biology 2e, 10 Cell Reproduction</x:v>
      </x:c>
      <x:c r="I528" s="9" t="str">
        <x:v>https://openstax.org/books/biology-2e/pages/10-introduction</x:v>
      </x:c>
      <x:c r="J528" s="9" t="str">
        <x:v>Verified</x:v>
      </x:c>
    </x:row>
    <x:row r="529" ht="42" customHeight="1">
      <x:c r="A529" s="8" t="str">
        <x:v>D2.1-20</x:v>
      </x:c>
      <x:c r="B529" s="8" t="str">
        <x:v>D2.1</x:v>
      </x:c>
      <x:c r="C529" s="9" t="str">
        <x:v>Continuity and change</x:v>
      </x:c>
      <x:c r="D529" s="9" t="str">
        <x:v>Cell and nuclear division</x:v>
      </x:c>
      <x:c r="E529" s="9" t="str">
        <x:v>SL/HL</x:v>
      </x:c>
      <x:c r="F529" s="9" t="str">
        <x:v>Crossing over</x:v>
      </x:c>
      <x:c r="G529" s="9" t="str">
        <x:v>Reciprocal DNA exchange between non-sister chromatids of homologous chromosomes during meiosis I.</x:v>
      </x:c>
      <x:c r="H529" s="9" t="str">
        <x:v>OpenStax Biology 2e, 10 Cell Reproduction</x:v>
      </x:c>
      <x:c r="I529" s="9" t="str">
        <x:v>https://openstax.org/books/biology-2e/pages/10-introduction</x:v>
      </x:c>
      <x:c r="J529" s="9" t="str">
        <x:v>Verified</x:v>
      </x:c>
    </x:row>
    <x:row r="530" ht="42" customHeight="1">
      <x:c r="A530" s="8" t="str">
        <x:v>D2.1-21</x:v>
      </x:c>
      <x:c r="B530" s="8" t="str">
        <x:v>D2.1</x:v>
      </x:c>
      <x:c r="C530" s="9" t="str">
        <x:v>Continuity and change</x:v>
      </x:c>
      <x:c r="D530" s="9" t="str">
        <x:v>Cell and nuclear division</x:v>
      </x:c>
      <x:c r="E530" s="9" t="str">
        <x:v>SL/HL</x:v>
      </x:c>
      <x:c r="F530" s="9" t="str">
        <x:v>Independent assortment</x:v>
      </x:c>
      <x:c r="G530" s="9" t="str">
        <x:v>Random orientation of homologous pairs at meiosis I, generating different maternal and paternal chromosome combinations.</x:v>
      </x:c>
      <x:c r="H530" s="9" t="str">
        <x:v>OpenStax Biology 2e, 10 Cell Reproduction</x:v>
      </x:c>
      <x:c r="I530" s="9" t="str">
        <x:v>https://openstax.org/books/biology-2e/pages/10-introduction</x:v>
      </x:c>
      <x:c r="J530" s="9" t="str">
        <x:v>Verified</x:v>
      </x:c>
    </x:row>
    <x:row r="531" ht="42" customHeight="1">
      <x:c r="A531" s="8" t="str">
        <x:v>D2.1-22</x:v>
      </x:c>
      <x:c r="B531" s="8" t="str">
        <x:v>D2.1</x:v>
      </x:c>
      <x:c r="C531" s="9" t="str">
        <x:v>Continuity and change</x:v>
      </x:c>
      <x:c r="D531" s="9" t="str">
        <x:v>Cell and nuclear division</x:v>
      </x:c>
      <x:c r="E531" s="9" t="str">
        <x:v>SL/HL</x:v>
      </x:c>
      <x:c r="F531" s="9" t="str">
        <x:v>Haploid</x:v>
      </x:c>
      <x:c r="G531" s="9" t="str">
        <x:v>Having one complete set of chromosomes.</x:v>
      </x:c>
      <x:c r="H531" s="9" t="str">
        <x:v>OpenStax Biology 2e, 10 Cell Reproduction</x:v>
      </x:c>
      <x:c r="I531" s="9" t="str">
        <x:v>https://openstax.org/books/biology-2e/pages/10-introduction</x:v>
      </x:c>
      <x:c r="J531" s="9" t="str">
        <x:v>Verified</x:v>
      </x:c>
    </x:row>
    <x:row r="532" ht="42" customHeight="1">
      <x:c r="A532" s="8" t="str">
        <x:v>D2.1-23</x:v>
      </x:c>
      <x:c r="B532" s="8" t="str">
        <x:v>D2.1</x:v>
      </x:c>
      <x:c r="C532" s="9" t="str">
        <x:v>Continuity and change</x:v>
      </x:c>
      <x:c r="D532" s="9" t="str">
        <x:v>Cell and nuclear division</x:v>
      </x:c>
      <x:c r="E532" s="9" t="str">
        <x:v>SL/HL</x:v>
      </x:c>
      <x:c r="F532" s="9" t="str">
        <x:v>Diploid</x:v>
      </x:c>
      <x:c r="G532" s="9" t="str">
        <x:v>Having two homologous sets of chromosomes.</x:v>
      </x:c>
      <x:c r="H532" s="9" t="str">
        <x:v>OpenStax Biology 2e, 10 Cell Reproduction</x:v>
      </x:c>
      <x:c r="I532" s="9" t="str">
        <x:v>https://openstax.org/books/biology-2e/pages/10-introduction</x:v>
      </x:c>
      <x:c r="J532" s="9" t="str">
        <x:v>Verified</x:v>
      </x:c>
    </x:row>
    <x:row r="533" ht="42" customHeight="1">
      <x:c r="A533" s="8" t="str">
        <x:v>D2.1-24</x:v>
      </x:c>
      <x:c r="B533" s="8" t="str">
        <x:v>D2.1</x:v>
      </x:c>
      <x:c r="C533" s="9" t="str">
        <x:v>Continuity and change</x:v>
      </x:c>
      <x:c r="D533" s="9" t="str">
        <x:v>Cell and nuclear division</x:v>
      </x:c>
      <x:c r="E533" s="9" t="str">
        <x:v>SL/HL</x:v>
      </x:c>
      <x:c r="F533" s="9" t="str">
        <x:v>Nondisjunction</x:v>
      </x:c>
      <x:c r="G533" s="9" t="str">
        <x:v>Failure of homologous chromosomes or sister chromatids to separate correctly during cell division.</x:v>
      </x:c>
      <x:c r="H533" s="9" t="str">
        <x:v>OpenStax Biology 2e, 10 Cell Reproduction</x:v>
      </x:c>
      <x:c r="I533" s="9" t="str">
        <x:v>https://openstax.org/books/biology-2e/pages/10-introduction</x:v>
      </x:c>
      <x:c r="J533" s="9" t="str">
        <x:v>Verified</x:v>
      </x:c>
    </x:row>
    <x:row r="534" ht="42" customHeight="1">
      <x:c r="A534" s="8" t="str">
        <x:v>D2.2-01</x:v>
      </x:c>
      <x:c r="B534" s="8" t="str">
        <x:v>D2.2</x:v>
      </x:c>
      <x:c r="C534" s="9" t="str">
        <x:v>Continuity and change</x:v>
      </x:c>
      <x:c r="D534" s="9" t="str">
        <x:v>Gene expression</x:v>
      </x:c>
      <x:c r="E534" s="9" t="str">
        <x:v>HL</x:v>
      </x:c>
      <x:c r="F534" s="9" t="str">
        <x:v>Gene expression</x:v>
      </x:c>
      <x:c r="G534" s="9" t="str">
        <x:v>Use of genetic information to produce a functional RNA or polypeptide.</x:v>
      </x:c>
      <x:c r="H534" s="9" t="str">
        <x:v>OpenStax Biology 2e, 16 Gene Expression</x:v>
      </x:c>
      <x:c r="I534" s="9" t="str">
        <x:v>https://openstax.org/books/biology-2e/pages/16-introduction</x:v>
      </x:c>
      <x:c r="J534" s="9" t="str">
        <x:v>Verified</x:v>
      </x:c>
    </x:row>
    <x:row r="535" ht="42" customHeight="1">
      <x:c r="A535" s="8" t="str">
        <x:v>D2.2-02</x:v>
      </x:c>
      <x:c r="B535" s="8" t="str">
        <x:v>D2.2</x:v>
      </x:c>
      <x:c r="C535" s="9" t="str">
        <x:v>Continuity and change</x:v>
      </x:c>
      <x:c r="D535" s="9" t="str">
        <x:v>Gene expression</x:v>
      </x:c>
      <x:c r="E535" s="9" t="str">
        <x:v>HL</x:v>
      </x:c>
      <x:c r="F535" s="9" t="str">
        <x:v>Transcription factor</x:v>
      </x:c>
      <x:c r="G535" s="9" t="str">
        <x:v>A regulatory protein that binds DNA and influences transcription initiation.</x:v>
      </x:c>
      <x:c r="H535" s="9" t="str">
        <x:v>OpenStax Biology 2e, 16 Gene Expression</x:v>
      </x:c>
      <x:c r="I535" s="9" t="str">
        <x:v>https://openstax.org/books/biology-2e/pages/16-introduction</x:v>
      </x:c>
      <x:c r="J535" s="9" t="str">
        <x:v>Verified</x:v>
      </x:c>
    </x:row>
    <x:row r="536" ht="42" customHeight="1">
      <x:c r="A536" s="8" t="str">
        <x:v>D2.2-03</x:v>
      </x:c>
      <x:c r="B536" s="8" t="str">
        <x:v>D2.2</x:v>
      </x:c>
      <x:c r="C536" s="9" t="str">
        <x:v>Continuity and change</x:v>
      </x:c>
      <x:c r="D536" s="9" t="str">
        <x:v>Gene expression</x:v>
      </x:c>
      <x:c r="E536" s="9" t="str">
        <x:v>HL</x:v>
      </x:c>
      <x:c r="F536" s="9" t="str">
        <x:v>Enhancer</x:v>
      </x:c>
      <x:c r="G536" s="9" t="str">
        <x:v>A regulatory DNA sequence that increases transcription when bound by activating proteins.</x:v>
      </x:c>
      <x:c r="H536" s="9" t="str">
        <x:v>OpenStax Biology 2e, 16 Gene Expression</x:v>
      </x:c>
      <x:c r="I536" s="9" t="str">
        <x:v>https://openstax.org/books/biology-2e/pages/16-introduction</x:v>
      </x:c>
      <x:c r="J536" s="9" t="str">
        <x:v>Verified</x:v>
      </x:c>
    </x:row>
    <x:row r="537" ht="42" customHeight="1">
      <x:c r="A537" s="8" t="str">
        <x:v>D2.2-04</x:v>
      </x:c>
      <x:c r="B537" s="8" t="str">
        <x:v>D2.2</x:v>
      </x:c>
      <x:c r="C537" s="9" t="str">
        <x:v>Continuity and change</x:v>
      </x:c>
      <x:c r="D537" s="9" t="str">
        <x:v>Gene expression</x:v>
      </x:c>
      <x:c r="E537" s="9" t="str">
        <x:v>HL</x:v>
      </x:c>
      <x:c r="F537" s="9" t="str">
        <x:v>Silencer</x:v>
      </x:c>
      <x:c r="G537" s="9" t="str">
        <x:v>A regulatory DNA sequence that reduces transcription when bound by repressing proteins.</x:v>
      </x:c>
      <x:c r="H537" s="9" t="str">
        <x:v>OpenStax Biology 2e, 16 Gene Expression</x:v>
      </x:c>
      <x:c r="I537" s="9" t="str">
        <x:v>https://openstax.org/books/biology-2e/pages/16-introduction</x:v>
      </x:c>
      <x:c r="J537" s="9" t="str">
        <x:v>Verified</x:v>
      </x:c>
    </x:row>
    <x:row r="538" ht="42" customHeight="1">
      <x:c r="A538" s="8" t="str">
        <x:v>D2.2-05</x:v>
      </x:c>
      <x:c r="B538" s="8" t="str">
        <x:v>D2.2</x:v>
      </x:c>
      <x:c r="C538" s="9" t="str">
        <x:v>Continuity and change</x:v>
      </x:c>
      <x:c r="D538" s="9" t="str">
        <x:v>Gene expression</x:v>
      </x:c>
      <x:c r="E538" s="9" t="str">
        <x:v>HL</x:v>
      </x:c>
      <x:c r="F538" s="9" t="str">
        <x:v>Epigenetics</x:v>
      </x:c>
      <x:c r="G538" s="9" t="str">
        <x:v>Study of heritable or persistent changes in gene activity that do not alter DNA sequence.</x:v>
      </x:c>
      <x:c r="H538" s="9" t="str">
        <x:v>OpenStax Biology 2e, 16 Gene Expression</x:v>
      </x:c>
      <x:c r="I538" s="9" t="str">
        <x:v>https://openstax.org/books/biology-2e/pages/16-introduction</x:v>
      </x:c>
      <x:c r="J538" s="9" t="str">
        <x:v>Verified</x:v>
      </x:c>
    </x:row>
    <x:row r="539" ht="42" customHeight="1">
      <x:c r="A539" s="8" t="str">
        <x:v>D2.2-06</x:v>
      </x:c>
      <x:c r="B539" s="8" t="str">
        <x:v>D2.2</x:v>
      </x:c>
      <x:c r="C539" s="9" t="str">
        <x:v>Continuity and change</x:v>
      </x:c>
      <x:c r="D539" s="9" t="str">
        <x:v>Gene expression</x:v>
      </x:c>
      <x:c r="E539" s="9" t="str">
        <x:v>HL</x:v>
      </x:c>
      <x:c r="F539" s="9" t="str">
        <x:v>DNA methylation</x:v>
      </x:c>
      <x:c r="G539" s="9" t="str">
        <x:v>Covalent addition of methyl groups to DNA, often associated with reduced transcription in eukaryotes.</x:v>
      </x:c>
      <x:c r="H539" s="9" t="str">
        <x:v>OpenStax Biology 2e, 16 Gene Expression</x:v>
      </x:c>
      <x:c r="I539" s="9" t="str">
        <x:v>https://openstax.org/books/biology-2e/pages/16-introduction</x:v>
      </x:c>
      <x:c r="J539" s="9" t="str">
        <x:v>Verified</x:v>
      </x:c>
    </x:row>
    <x:row r="540" ht="42" customHeight="1">
      <x:c r="A540" s="8" t="str">
        <x:v>D2.2-07</x:v>
      </x:c>
      <x:c r="B540" s="8" t="str">
        <x:v>D2.2</x:v>
      </x:c>
      <x:c r="C540" s="9" t="str">
        <x:v>Continuity and change</x:v>
      </x:c>
      <x:c r="D540" s="9" t="str">
        <x:v>Gene expression</x:v>
      </x:c>
      <x:c r="E540" s="9" t="str">
        <x:v>HL</x:v>
      </x:c>
      <x:c r="F540" s="9" t="str">
        <x:v>Histone modification</x:v>
      </x:c>
      <x:c r="G540" s="9" t="str">
        <x:v>Covalent alteration of histone tails that changes chromatin accessibility or recruits regulatory proteins.</x:v>
      </x:c>
      <x:c r="H540" s="9" t="str">
        <x:v>OpenStax Biology 2e, 16 Gene Expression</x:v>
      </x:c>
      <x:c r="I540" s="9" t="str">
        <x:v>https://openstax.org/books/biology-2e/pages/16-introduction</x:v>
      </x:c>
      <x:c r="J540" s="9" t="str">
        <x:v>Verified</x:v>
      </x:c>
    </x:row>
    <x:row r="541" ht="42" customHeight="1">
      <x:c r="A541" s="8" t="str">
        <x:v>D2.2-08</x:v>
      </x:c>
      <x:c r="B541" s="8" t="str">
        <x:v>D2.2</x:v>
      </x:c>
      <x:c r="C541" s="9" t="str">
        <x:v>Continuity and change</x:v>
      </x:c>
      <x:c r="D541" s="9" t="str">
        <x:v>Gene expression</x:v>
      </x:c>
      <x:c r="E541" s="9" t="str">
        <x:v>HL</x:v>
      </x:c>
      <x:c r="F541" s="9" t="str">
        <x:v>Chromatin</x:v>
      </x:c>
      <x:c r="G541" s="9" t="str">
        <x:v>The DNA–protein complex that packages eukaryotic chromosomes.</x:v>
      </x:c>
      <x:c r="H541" s="9" t="str">
        <x:v>OpenStax Biology 2e, 16 Gene Expression</x:v>
      </x:c>
      <x:c r="I541" s="9" t="str">
        <x:v>https://openstax.org/books/biology-2e/pages/16-introduction</x:v>
      </x:c>
      <x:c r="J541" s="9" t="str">
        <x:v>Verified</x:v>
      </x:c>
    </x:row>
    <x:row r="542" ht="42" customHeight="1">
      <x:c r="A542" s="8" t="str">
        <x:v>D2.2-09</x:v>
      </x:c>
      <x:c r="B542" s="8" t="str">
        <x:v>D2.2</x:v>
      </x:c>
      <x:c r="C542" s="9" t="str">
        <x:v>Continuity and change</x:v>
      </x:c>
      <x:c r="D542" s="9" t="str">
        <x:v>Gene expression</x:v>
      </x:c>
      <x:c r="E542" s="9" t="str">
        <x:v>HL</x:v>
      </x:c>
      <x:c r="F542" s="9" t="str">
        <x:v>Euchromatin</x:v>
      </x:c>
      <x:c r="G542" s="9" t="str">
        <x:v>Relatively open chromatin that is generally accessible to transcription machinery.</x:v>
      </x:c>
      <x:c r="H542" s="9" t="str">
        <x:v>OpenStax Biology 2e, 16 Gene Expression</x:v>
      </x:c>
      <x:c r="I542" s="9" t="str">
        <x:v>https://openstax.org/books/biology-2e/pages/16-introduction</x:v>
      </x:c>
      <x:c r="J542" s="9" t="str">
        <x:v>Verified</x:v>
      </x:c>
    </x:row>
    <x:row r="543" ht="42" customHeight="1">
      <x:c r="A543" s="8" t="str">
        <x:v>D2.2-10</x:v>
      </x:c>
      <x:c r="B543" s="8" t="str">
        <x:v>D2.2</x:v>
      </x:c>
      <x:c r="C543" s="9" t="str">
        <x:v>Continuity and change</x:v>
      </x:c>
      <x:c r="D543" s="9" t="str">
        <x:v>Gene expression</x:v>
      </x:c>
      <x:c r="E543" s="9" t="str">
        <x:v>HL</x:v>
      </x:c>
      <x:c r="F543" s="9" t="str">
        <x:v>Heterochromatin</x:v>
      </x:c>
      <x:c r="G543" s="9" t="str">
        <x:v>Densely packed chromatin that is generally less transcriptionally active.</x:v>
      </x:c>
      <x:c r="H543" s="9" t="str">
        <x:v>OpenStax Biology 2e, 16 Gene Expression</x:v>
      </x:c>
      <x:c r="I543" s="9" t="str">
        <x:v>https://openstax.org/books/biology-2e/pages/16-introduction</x:v>
      </x:c>
      <x:c r="J543" s="9" t="str">
        <x:v>Verified</x:v>
      </x:c>
    </x:row>
    <x:row r="544" ht="42" customHeight="1">
      <x:c r="A544" s="8" t="str">
        <x:v>D2.2-11</x:v>
      </x:c>
      <x:c r="B544" s="8" t="str">
        <x:v>D2.2</x:v>
      </x:c>
      <x:c r="C544" s="9" t="str">
        <x:v>Continuity and change</x:v>
      </x:c>
      <x:c r="D544" s="9" t="str">
        <x:v>Gene expression</x:v>
      </x:c>
      <x:c r="E544" s="9" t="str">
        <x:v>HL</x:v>
      </x:c>
      <x:c r="F544" s="9" t="str">
        <x:v>Nucleosome</x:v>
      </x:c>
      <x:c r="G544" s="9" t="str">
        <x:v>A chromatin unit consisting of DNA wrapped around a core of histone proteins.</x:v>
      </x:c>
      <x:c r="H544" s="9" t="str">
        <x:v>OpenStax Biology 2e, 16 Gene Expression</x:v>
      </x:c>
      <x:c r="I544" s="9" t="str">
        <x:v>https://openstax.org/books/biology-2e/pages/16-introduction</x:v>
      </x:c>
      <x:c r="J544" s="9" t="str">
        <x:v>Verified</x:v>
      </x:c>
    </x:row>
    <x:row r="545" ht="42" customHeight="1">
      <x:c r="A545" s="8" t="str">
        <x:v>D2.2-12</x:v>
      </x:c>
      <x:c r="B545" s="8" t="str">
        <x:v>D2.2</x:v>
      </x:c>
      <x:c r="C545" s="9" t="str">
        <x:v>Continuity and change</x:v>
      </x:c>
      <x:c r="D545" s="9" t="str">
        <x:v>Gene expression</x:v>
      </x:c>
      <x:c r="E545" s="9" t="str">
        <x:v>HL</x:v>
      </x:c>
      <x:c r="F545" s="9" t="str">
        <x:v>Operon</x:v>
      </x:c>
      <x:c r="G545" s="9" t="str">
        <x:v>A prokaryotic regulatory unit in which one promoter controls transcription of multiple genes.</x:v>
      </x:c>
      <x:c r="H545" s="9" t="str">
        <x:v>OpenStax Biology 2e, 16 Gene Expression</x:v>
      </x:c>
      <x:c r="I545" s="9" t="str">
        <x:v>https://openstax.org/books/biology-2e/pages/16-introduction</x:v>
      </x:c>
      <x:c r="J545" s="9" t="str">
        <x:v>Verified</x:v>
      </x:c>
    </x:row>
    <x:row r="546" ht="42" customHeight="1">
      <x:c r="A546" s="8" t="str">
        <x:v>D2.2-13</x:v>
      </x:c>
      <x:c r="B546" s="8" t="str">
        <x:v>D2.2</x:v>
      </x:c>
      <x:c r="C546" s="9" t="str">
        <x:v>Continuity and change</x:v>
      </x:c>
      <x:c r="D546" s="9" t="str">
        <x:v>Gene expression</x:v>
      </x:c>
      <x:c r="E546" s="9" t="str">
        <x:v>HL</x:v>
      </x:c>
      <x:c r="F546" s="9" t="str">
        <x:v>lac operon</x:v>
      </x:c>
      <x:c r="G546" s="9" t="str">
        <x:v>An inducible bacterial gene cluster that regulates lactose uptake and metabolism.</x:v>
      </x:c>
      <x:c r="H546" s="9" t="str">
        <x:v>OpenStax Biology 2e, 16 Gene Expression</x:v>
      </x:c>
      <x:c r="I546" s="9" t="str">
        <x:v>https://openstax.org/books/biology-2e/pages/16-introduction</x:v>
      </x:c>
      <x:c r="J546" s="9" t="str">
        <x:v>Verified</x:v>
      </x:c>
    </x:row>
    <x:row r="547" ht="42" customHeight="1">
      <x:c r="A547" s="8" t="str">
        <x:v>D2.2-14</x:v>
      </x:c>
      <x:c r="B547" s="8" t="str">
        <x:v>D2.2</x:v>
      </x:c>
      <x:c r="C547" s="9" t="str">
        <x:v>Continuity and change</x:v>
      </x:c>
      <x:c r="D547" s="9" t="str">
        <x:v>Gene expression</x:v>
      </x:c>
      <x:c r="E547" s="9" t="str">
        <x:v>HL</x:v>
      </x:c>
      <x:c r="F547" s="9" t="str">
        <x:v>Repressor protein</x:v>
      </x:c>
      <x:c r="G547" s="9" t="str">
        <x:v>A regulatory protein that reduces gene transcription by binding a specific DNA site or transcription factor.</x:v>
      </x:c>
      <x:c r="H547" s="9" t="str">
        <x:v>OpenStax Biology 2e, 16 Gene Expression</x:v>
      </x:c>
      <x:c r="I547" s="9" t="str">
        <x:v>https://openstax.org/books/biology-2e/pages/16-introduction</x:v>
      </x:c>
      <x:c r="J547" s="9" t="str">
        <x:v>Verified</x:v>
      </x:c>
    </x:row>
    <x:row r="548" ht="42" customHeight="1">
      <x:c r="A548" s="8" t="str">
        <x:v>D2.2-15</x:v>
      </x:c>
      <x:c r="B548" s="8" t="str">
        <x:v>D2.2</x:v>
      </x:c>
      <x:c r="C548" s="9" t="str">
        <x:v>Continuity and change</x:v>
      </x:c>
      <x:c r="D548" s="9" t="str">
        <x:v>Gene expression</x:v>
      </x:c>
      <x:c r="E548" s="9" t="str">
        <x:v>HL</x:v>
      </x:c>
      <x:c r="F548" s="9" t="str">
        <x:v>Inducer</x:v>
      </x:c>
      <x:c r="G548" s="9" t="str">
        <x:v>A small molecule that increases gene expression by altering a regulatory protein’s activity.</x:v>
      </x:c>
      <x:c r="H548" s="9" t="str">
        <x:v>OpenStax Biology 2e, 16 Gene Expression</x:v>
      </x:c>
      <x:c r="I548" s="9" t="str">
        <x:v>https://openstax.org/books/biology-2e/pages/16-introduction</x:v>
      </x:c>
      <x:c r="J548" s="9" t="str">
        <x:v>Verified</x:v>
      </x:c>
    </x:row>
    <x:row r="549" ht="42" customHeight="1">
      <x:c r="A549" s="8" t="str">
        <x:v>D2.2-16</x:v>
      </x:c>
      <x:c r="B549" s="8" t="str">
        <x:v>D2.2</x:v>
      </x:c>
      <x:c r="C549" s="9" t="str">
        <x:v>Continuity and change</x:v>
      </x:c>
      <x:c r="D549" s="9" t="str">
        <x:v>Gene expression</x:v>
      </x:c>
      <x:c r="E549" s="9" t="str">
        <x:v>HL</x:v>
      </x:c>
      <x:c r="F549" s="9" t="str">
        <x:v>Alternative splicing</x:v>
      </x:c>
      <x:c r="G549" s="9" t="str">
        <x:v>Production of different mature RNAs from one precursor by selecting different exon combinations.</x:v>
      </x:c>
      <x:c r="H549" s="9" t="str">
        <x:v>OpenStax Biology 2e, 16 Gene Expression</x:v>
      </x:c>
      <x:c r="I549" s="9" t="str">
        <x:v>https://openstax.org/books/biology-2e/pages/16-introduction</x:v>
      </x:c>
      <x:c r="J549" s="9" t="str">
        <x:v>Verified</x:v>
      </x:c>
    </x:row>
    <x:row r="550" ht="42" customHeight="1">
      <x:c r="A550" s="8" t="str">
        <x:v>D2.2-17</x:v>
      </x:c>
      <x:c r="B550" s="8" t="str">
        <x:v>D2.2</x:v>
      </x:c>
      <x:c r="C550" s="9" t="str">
        <x:v>Continuity and change</x:v>
      </x:c>
      <x:c r="D550" s="9" t="str">
        <x:v>Gene expression</x:v>
      </x:c>
      <x:c r="E550" s="9" t="str">
        <x:v>HL</x:v>
      </x:c>
      <x:c r="F550" s="9" t="str">
        <x:v>RNA interference</x:v>
      </x:c>
      <x:c r="G550" s="9" t="str">
        <x:v>Sequence-specific reduction of gene expression directed by small RNA molecules.</x:v>
      </x:c>
      <x:c r="H550" s="9" t="str">
        <x:v>OpenStax Biology 2e, 16 Gene Expression</x:v>
      </x:c>
      <x:c r="I550" s="9" t="str">
        <x:v>https://openstax.org/books/biology-2e/pages/16-introduction</x:v>
      </x:c>
      <x:c r="J550" s="9" t="str">
        <x:v>Verified</x:v>
      </x:c>
    </x:row>
    <x:row r="551" ht="42" customHeight="1">
      <x:c r="A551" s="8" t="str">
        <x:v>D2.2-18</x:v>
      </x:c>
      <x:c r="B551" s="8" t="str">
        <x:v>D2.2</x:v>
      </x:c>
      <x:c r="C551" s="9" t="str">
        <x:v>Continuity and change</x:v>
      </x:c>
      <x:c r="D551" s="9" t="str">
        <x:v>Gene expression</x:v>
      </x:c>
      <x:c r="E551" s="9" t="str">
        <x:v>HL</x:v>
      </x:c>
      <x:c r="F551" s="9" t="str">
        <x:v>MicroRNA</x:v>
      </x:c>
      <x:c r="G551" s="9" t="str">
        <x:v>A short regulatory RNA that pairs with target mRNA to reduce translation or promote degradation.</x:v>
      </x:c>
      <x:c r="H551" s="9" t="str">
        <x:v>OpenStax Biology 2e, 16 Gene Expression</x:v>
      </x:c>
      <x:c r="I551" s="9" t="str">
        <x:v>https://openstax.org/books/biology-2e/pages/16-introduction</x:v>
      </x:c>
      <x:c r="J551" s="9" t="str">
        <x:v>Verified</x:v>
      </x:c>
    </x:row>
    <x:row r="552" ht="42" customHeight="1">
      <x:c r="A552" s="8" t="str">
        <x:v>D2.3-01</x:v>
      </x:c>
      <x:c r="B552" s="8" t="str">
        <x:v>D2.3</x:v>
      </x:c>
      <x:c r="C552" s="9" t="str">
        <x:v>Continuity and change</x:v>
      </x:c>
      <x:c r="D552" s="9" t="str">
        <x:v>Water potential</x:v>
      </x:c>
      <x:c r="E552" s="9" t="str">
        <x:v>SL/HL</x:v>
      </x:c>
      <x:c r="F552" s="9" t="str">
        <x:v>Water potential</x:v>
      </x:c>
      <x:c r="G552" s="9" t="str">
        <x:v>The potential energy of water relative to pure water that predicts movement from higher to lower values.</x:v>
      </x:c>
      <x:c r="H552" s="9" t="str">
        <x:v>OpenStax Biology 2e, 30.5 Transport of Water and Solutes in Plants</x:v>
      </x:c>
      <x:c r="I552" s="9" t="str">
        <x:v>https://openstax.org/books/biology-2e/pages/30-5-transport-of-water-and-solutes-in-plants</x:v>
      </x:c>
      <x:c r="J552" s="9" t="str">
        <x:v>Verified</x:v>
      </x:c>
    </x:row>
    <x:row r="553" ht="42" customHeight="1">
      <x:c r="A553" s="8" t="str">
        <x:v>D2.3-02</x:v>
      </x:c>
      <x:c r="B553" s="8" t="str">
        <x:v>D2.3</x:v>
      </x:c>
      <x:c r="C553" s="9" t="str">
        <x:v>Continuity and change</x:v>
      </x:c>
      <x:c r="D553" s="9" t="str">
        <x:v>Water potential</x:v>
      </x:c>
      <x:c r="E553" s="9" t="str">
        <x:v>SL/HL</x:v>
      </x:c>
      <x:c r="F553" s="9" t="str">
        <x:v>Solute potential</x:v>
      </x:c>
      <x:c r="G553" s="9" t="str">
        <x:v>The non-positive contribution of dissolved solutes to water potential; adding solute makes it more negative.</x:v>
      </x:c>
      <x:c r="H553" s="9" t="str">
        <x:v>OpenStax Biology 2e, 30.5 Transport of Water and Solutes in Plants</x:v>
      </x:c>
      <x:c r="I553" s="9" t="str">
        <x:v>https://openstax.org/books/biology-2e/pages/30-5-transport-of-water-and-solutes-in-plants</x:v>
      </x:c>
      <x:c r="J553" s="9" t="str">
        <x:v>Verified</x:v>
      </x:c>
    </x:row>
    <x:row r="554" ht="42" customHeight="1">
      <x:c r="A554" s="8" t="str">
        <x:v>D2.3-03</x:v>
      </x:c>
      <x:c r="B554" s="8" t="str">
        <x:v>D2.3</x:v>
      </x:c>
      <x:c r="C554" s="9" t="str">
        <x:v>Continuity and change</x:v>
      </x:c>
      <x:c r="D554" s="9" t="str">
        <x:v>Water potential</x:v>
      </x:c>
      <x:c r="E554" s="9" t="str">
        <x:v>SL/HL</x:v>
      </x:c>
      <x:c r="F554" s="9" t="str">
        <x:v>Pressure potential</x:v>
      </x:c>
      <x:c r="G554" s="9" t="str">
        <x:v>The contribution of physical pressure to water potential, positive under compression and negative under tension.</x:v>
      </x:c>
      <x:c r="H554" s="9" t="str">
        <x:v>OpenStax Biology 2e, 30.5 Transport of Water and Solutes in Plants</x:v>
      </x:c>
      <x:c r="I554" s="9" t="str">
        <x:v>https://openstax.org/books/biology-2e/pages/30-5-transport-of-water-and-solutes-in-plants</x:v>
      </x:c>
      <x:c r="J554" s="9" t="str">
        <x:v>Verified</x:v>
      </x:c>
    </x:row>
    <x:row r="555" ht="42" customHeight="1">
      <x:c r="A555" s="8" t="str">
        <x:v>D2.3-04</x:v>
      </x:c>
      <x:c r="B555" s="8" t="str">
        <x:v>D2.3</x:v>
      </x:c>
      <x:c r="C555" s="9" t="str">
        <x:v>Continuity and change</x:v>
      </x:c>
      <x:c r="D555" s="9" t="str">
        <x:v>Water potential</x:v>
      </x:c>
      <x:c r="E555" s="9" t="str">
        <x:v>SL/HL</x:v>
      </x:c>
      <x:c r="F555" s="9" t="str">
        <x:v>Osmosis</x:v>
      </x:c>
      <x:c r="G555" s="9" t="str">
        <x:v>Net movement of water across a selectively permeable membrane from higher to lower water potential.</x:v>
      </x:c>
      <x:c r="H555" s="9" t="str">
        <x:v>OpenStax Biology 2e, 30.5 Transport of Water and Solutes in Plants</x:v>
      </x:c>
      <x:c r="I555" s="9" t="str">
        <x:v>https://openstax.org/books/biology-2e/pages/30-5-transport-of-water-and-solutes-in-plants</x:v>
      </x:c>
      <x:c r="J555" s="9" t="str">
        <x:v>Verified</x:v>
      </x:c>
    </x:row>
    <x:row r="556" ht="42" customHeight="1">
      <x:c r="A556" s="8" t="str">
        <x:v>D2.3-05</x:v>
      </x:c>
      <x:c r="B556" s="8" t="str">
        <x:v>D2.3</x:v>
      </x:c>
      <x:c r="C556" s="9" t="str">
        <x:v>Continuity and change</x:v>
      </x:c>
      <x:c r="D556" s="9" t="str">
        <x:v>Water potential</x:v>
      </x:c>
      <x:c r="E556" s="9" t="str">
        <x:v>SL/HL</x:v>
      </x:c>
      <x:c r="F556" s="9" t="str">
        <x:v>Hypertonic solution</x:v>
      </x:c>
      <x:c r="G556" s="9" t="str">
        <x:v>A solution with higher effective solute concentration than the reference, causing susceptible cells to lose water.</x:v>
      </x:c>
      <x:c r="H556" s="9" t="str">
        <x:v>OpenStax Biology 2e, 30.5 Transport of Water and Solutes in Plants</x:v>
      </x:c>
      <x:c r="I556" s="9" t="str">
        <x:v>https://openstax.org/books/biology-2e/pages/30-5-transport-of-water-and-solutes-in-plants</x:v>
      </x:c>
      <x:c r="J556" s="9" t="str">
        <x:v>Verified</x:v>
      </x:c>
    </x:row>
    <x:row r="557" ht="42" customHeight="1">
      <x:c r="A557" s="8" t="str">
        <x:v>D2.3-06</x:v>
      </x:c>
      <x:c r="B557" s="8" t="str">
        <x:v>D2.3</x:v>
      </x:c>
      <x:c r="C557" s="9" t="str">
        <x:v>Continuity and change</x:v>
      </x:c>
      <x:c r="D557" s="9" t="str">
        <x:v>Water potential</x:v>
      </x:c>
      <x:c r="E557" s="9" t="str">
        <x:v>SL/HL</x:v>
      </x:c>
      <x:c r="F557" s="9" t="str">
        <x:v>Hypotonic solution</x:v>
      </x:c>
      <x:c r="G557" s="9" t="str">
        <x:v>A solution with lower effective solute concentration than the reference, causing susceptible cells to gain water.</x:v>
      </x:c>
      <x:c r="H557" s="9" t="str">
        <x:v>OpenStax Biology 2e, 30.5 Transport of Water and Solutes in Plants</x:v>
      </x:c>
      <x:c r="I557" s="9" t="str">
        <x:v>https://openstax.org/books/biology-2e/pages/30-5-transport-of-water-and-solutes-in-plants</x:v>
      </x:c>
      <x:c r="J557" s="9" t="str">
        <x:v>Verified</x:v>
      </x:c>
    </x:row>
    <x:row r="558" ht="42" customHeight="1">
      <x:c r="A558" s="8" t="str">
        <x:v>D2.3-07</x:v>
      </x:c>
      <x:c r="B558" s="8" t="str">
        <x:v>D2.3</x:v>
      </x:c>
      <x:c r="C558" s="9" t="str">
        <x:v>Continuity and change</x:v>
      </x:c>
      <x:c r="D558" s="9" t="str">
        <x:v>Water potential</x:v>
      </x:c>
      <x:c r="E558" s="9" t="str">
        <x:v>SL/HL</x:v>
      </x:c>
      <x:c r="F558" s="9" t="str">
        <x:v>Isotonic solution</x:v>
      </x:c>
      <x:c r="G558" s="9" t="str">
        <x:v>A solution producing no net water movement across a membrane relative to the reference cell or solution.</x:v>
      </x:c>
      <x:c r="H558" s="9" t="str">
        <x:v>OpenStax Biology 2e, 30.5 Transport of Water and Solutes in Plants</x:v>
      </x:c>
      <x:c r="I558" s="9" t="str">
        <x:v>https://openstax.org/books/biology-2e/pages/30-5-transport-of-water-and-solutes-in-plants</x:v>
      </x:c>
      <x:c r="J558" s="9" t="str">
        <x:v>Verified</x:v>
      </x:c>
    </x:row>
    <x:row r="559" ht="42" customHeight="1">
      <x:c r="A559" s="8" t="str">
        <x:v>D2.3-08</x:v>
      </x:c>
      <x:c r="B559" s="8" t="str">
        <x:v>D2.3</x:v>
      </x:c>
      <x:c r="C559" s="9" t="str">
        <x:v>Continuity and change</x:v>
      </x:c>
      <x:c r="D559" s="9" t="str">
        <x:v>Water potential</x:v>
      </x:c>
      <x:c r="E559" s="9" t="str">
        <x:v>SL/HL</x:v>
      </x:c>
      <x:c r="F559" s="9" t="str">
        <x:v>Plasmolysis</x:v>
      </x:c>
      <x:c r="G559" s="9" t="str">
        <x:v>Separation of a plant cell’s plasma membrane from its wall after water loss in a hypertonic solution.</x:v>
      </x:c>
      <x:c r="H559" s="9" t="str">
        <x:v>OpenStax Biology 2e, 30.5 Transport of Water and Solutes in Plants</x:v>
      </x:c>
      <x:c r="I559" s="9" t="str">
        <x:v>https://openstax.org/books/biology-2e/pages/30-5-transport-of-water-and-solutes-in-plants</x:v>
      </x:c>
      <x:c r="J559" s="9" t="str">
        <x:v>Verified</x:v>
      </x:c>
    </x:row>
    <x:row r="560" ht="42" customHeight="1">
      <x:c r="A560" s="8" t="str">
        <x:v>D2.3-09</x:v>
      </x:c>
      <x:c r="B560" s="8" t="str">
        <x:v>D2.3</x:v>
      </x:c>
      <x:c r="C560" s="9" t="str">
        <x:v>Continuity and change</x:v>
      </x:c>
      <x:c r="D560" s="9" t="str">
        <x:v>Water potential</x:v>
      </x:c>
      <x:c r="E560" s="9" t="str">
        <x:v>SL/HL</x:v>
      </x:c>
      <x:c r="F560" s="9" t="str">
        <x:v>Turgor pressure</x:v>
      </x:c>
      <x:c r="G560" s="9" t="str">
        <x:v>Outward pressure of a plant cell’s contents against its wall after water entry.</x:v>
      </x:c>
      <x:c r="H560" s="9" t="str">
        <x:v>OpenStax Biology 2e, 30.5 Transport of Water and Solutes in Plants</x:v>
      </x:c>
      <x:c r="I560" s="9" t="str">
        <x:v>https://openstax.org/books/biology-2e/pages/30-5-transport-of-water-and-solutes-in-plants</x:v>
      </x:c>
      <x:c r="J560" s="9" t="str">
        <x:v>Verified</x:v>
      </x:c>
    </x:row>
    <x:row r="561" ht="42" customHeight="1">
      <x:c r="A561" s="8" t="str">
        <x:v>D2.3-10</x:v>
      </x:c>
      <x:c r="B561" s="8" t="str">
        <x:v>D2.3</x:v>
      </x:c>
      <x:c r="C561" s="9" t="str">
        <x:v>Continuity and change</x:v>
      </x:c>
      <x:c r="D561" s="9" t="str">
        <x:v>Water potential</x:v>
      </x:c>
      <x:c r="E561" s="9" t="str">
        <x:v>SL/HL</x:v>
      </x:c>
      <x:c r="F561" s="9" t="str">
        <x:v>Turgid cell</x:v>
      </x:c>
      <x:c r="G561" s="9" t="str">
        <x:v>A plant cell firm from water uptake and high positive pressure against its wall.</x:v>
      </x:c>
      <x:c r="H561" s="9" t="str">
        <x:v>OpenStax Biology 2e, 30.5 Transport of Water and Solutes in Plants</x:v>
      </x:c>
      <x:c r="I561" s="9" t="str">
        <x:v>https://openstax.org/books/biology-2e/pages/30-5-transport-of-water-and-solutes-in-plants</x:v>
      </x:c>
      <x:c r="J561" s="9" t="str">
        <x:v>Verified</x:v>
      </x:c>
    </x:row>
    <x:row r="562" ht="42" customHeight="1">
      <x:c r="A562" s="8" t="str">
        <x:v>D2.3-11</x:v>
      </x:c>
      <x:c r="B562" s="8" t="str">
        <x:v>D2.3</x:v>
      </x:c>
      <x:c r="C562" s="9" t="str">
        <x:v>Continuity and change</x:v>
      </x:c>
      <x:c r="D562" s="9" t="str">
        <x:v>Water potential</x:v>
      </x:c>
      <x:c r="E562" s="9" t="str">
        <x:v>SL/HL</x:v>
      </x:c>
      <x:c r="F562" s="9" t="str">
        <x:v>Flaccid cell</x:v>
      </x:c>
      <x:c r="G562" s="9" t="str">
        <x:v>A plant cell with insufficient internal pressure to remain firm.</x:v>
      </x:c>
      <x:c r="H562" s="9" t="str">
        <x:v>OpenStax Biology 2e, 30.5 Transport of Water and Solutes in Plants</x:v>
      </x:c>
      <x:c r="I562" s="9" t="str">
        <x:v>https://openstax.org/books/biology-2e/pages/30-5-transport-of-water-and-solutes-in-plants</x:v>
      </x:c>
      <x:c r="J562" s="9" t="str">
        <x:v>Verified</x:v>
      </x:c>
    </x:row>
    <x:row r="563" ht="42" customHeight="1">
      <x:c r="A563" s="8" t="str">
        <x:v>D2.3-12</x:v>
      </x:c>
      <x:c r="B563" s="8" t="str">
        <x:v>D2.3</x:v>
      </x:c>
      <x:c r="C563" s="9" t="str">
        <x:v>Continuity and change</x:v>
      </x:c>
      <x:c r="D563" s="9" t="str">
        <x:v>Water potential</x:v>
      </x:c>
      <x:c r="E563" s="9" t="str">
        <x:v>SL/HL</x:v>
      </x:c>
      <x:c r="F563" s="9" t="str">
        <x:v>Aquaporin</x:v>
      </x:c>
      <x:c r="G563" s="9" t="str">
        <x:v>A membrane channel protein that selectively increases water permeability.</x:v>
      </x:c>
      <x:c r="H563" s="9" t="str">
        <x:v>OpenStax Biology 2e, 30.5 Transport of Water and Solutes in Plants</x:v>
      </x:c>
      <x:c r="I563" s="9" t="str">
        <x:v>https://openstax.org/books/biology-2e/pages/30-5-transport-of-water-and-solutes-in-plants</x:v>
      </x:c>
      <x:c r="J563" s="9" t="str">
        <x:v>Verified</x:v>
      </x:c>
    </x:row>
    <x:row r="564" ht="42" customHeight="1">
      <x:c r="A564" s="8" t="str">
        <x:v>D2.3-13</x:v>
      </x:c>
      <x:c r="B564" s="8" t="str">
        <x:v>D2.3</x:v>
      </x:c>
      <x:c r="C564" s="9" t="str">
        <x:v>Continuity and change</x:v>
      </x:c>
      <x:c r="D564" s="9" t="str">
        <x:v>Water potential</x:v>
      </x:c>
      <x:c r="E564" s="9" t="str">
        <x:v>SL/HL</x:v>
      </x:c>
      <x:c r="F564" s="9" t="str">
        <x:v>Osmolarity</x:v>
      </x:c>
      <x:c r="G564" s="9" t="str">
        <x:v>The total concentration of osmotically active particles per liter of solution.</x:v>
      </x:c>
      <x:c r="H564" s="9" t="str">
        <x:v>OpenStax Biology 2e, 30.5 Transport of Water and Solutes in Plants</x:v>
      </x:c>
      <x:c r="I564" s="9" t="str">
        <x:v>https://openstax.org/books/biology-2e/pages/30-5-transport-of-water-and-solutes-in-plants</x:v>
      </x:c>
      <x:c r="J564" s="9" t="str">
        <x:v>Verified</x:v>
      </x:c>
    </x:row>
    <x:row r="565" ht="42" customHeight="1">
      <x:c r="A565" s="8" t="str">
        <x:v>D2.3-14</x:v>
      </x:c>
      <x:c r="B565" s="8" t="str">
        <x:v>D2.3</x:v>
      </x:c>
      <x:c r="C565" s="9" t="str">
        <x:v>Continuity and change</x:v>
      </x:c>
      <x:c r="D565" s="9" t="str">
        <x:v>Water potential</x:v>
      </x:c>
      <x:c r="E565" s="9" t="str">
        <x:v>SL/HL</x:v>
      </x:c>
      <x:c r="F565" s="9" t="str">
        <x:v>Water-potential gradient</x:v>
      </x:c>
      <x:c r="G565" s="9" t="str">
        <x:v>A difference in water potential that drives net water movement from a higher value to a lower value.</x:v>
      </x:c>
      <x:c r="H565" s="9" t="str">
        <x:v>OpenStax Biology 2e, 30.5 Transport of Water and Solutes in Plants</x:v>
      </x:c>
      <x:c r="I565" s="9" t="str">
        <x:v>https://openstax.org/books/biology-2e/pages/30-5-transport-of-water-and-solutes-in-plants</x:v>
      </x:c>
      <x:c r="J565" s="9" t="str">
        <x:v>Verified</x:v>
      </x:c>
    </x:row>
    <x:row r="566" ht="42" customHeight="1">
      <x:c r="A566" s="8" t="str">
        <x:v>D2.3-15</x:v>
      </x:c>
      <x:c r="B566" s="8" t="str">
        <x:v>D2.3</x:v>
      </x:c>
      <x:c r="C566" s="9" t="str">
        <x:v>Continuity and change</x:v>
      </x:c>
      <x:c r="D566" s="9" t="str">
        <x:v>Water potential</x:v>
      </x:c>
      <x:c r="E566" s="9" t="str">
        <x:v>SL/HL</x:v>
      </x:c>
      <x:c r="F566" s="9" t="str">
        <x:v>Incipient plasmolysis</x:v>
      </x:c>
      <x:c r="G566" s="9" t="str">
        <x:v>The condition at which a plant cell’s plasma membrane is just beginning to pull away from the wall.</x:v>
      </x:c>
      <x:c r="H566" s="9" t="str">
        <x:v>OpenStax Biology 2e, 30.5 Transport of Water and Solutes in Plants</x:v>
      </x:c>
      <x:c r="I566" s="9" t="str">
        <x:v>https://openstax.org/books/biology-2e/pages/30-5-transport-of-water-and-solutes-in-plants</x:v>
      </x:c>
      <x:c r="J566" s="9" t="str">
        <x:v>Verified</x:v>
      </x:c>
    </x:row>
    <x:row r="567" ht="42" customHeight="1">
      <x:c r="A567" s="8" t="str">
        <x:v>D3.1-01</x:v>
      </x:c>
      <x:c r="B567" s="8" t="str">
        <x:v>D3.1</x:v>
      </x:c>
      <x:c r="C567" s="9" t="str">
        <x:v>Continuity and change</x:v>
      </x:c>
      <x:c r="D567" s="9" t="str">
        <x:v>Reproduction</x:v>
      </x:c>
      <x:c r="E567" s="9" t="str">
        <x:v>SL/HL</x:v>
      </x:c>
      <x:c r="F567" s="9" t="str">
        <x:v>Asexual reproduction</x:v>
      </x:c>
      <x:c r="G567" s="9" t="str">
        <x:v>Production of offspring from one parent without fusion of gametes.</x:v>
      </x:c>
      <x:c r="H567" s="9" t="str">
        <x:v>OpenStax Biology 2e, 43 Animal Reproduction and Development</x:v>
      </x:c>
      <x:c r="I567" s="9" t="str">
        <x:v>https://openstax.org/books/biology-2e/pages/43-introduction</x:v>
      </x:c>
      <x:c r="J567" s="9" t="str">
        <x:v>Verified</x:v>
      </x:c>
    </x:row>
    <x:row r="568" ht="42" customHeight="1">
      <x:c r="A568" s="8" t="str">
        <x:v>D3.1-02</x:v>
      </x:c>
      <x:c r="B568" s="8" t="str">
        <x:v>D3.1</x:v>
      </x:c>
      <x:c r="C568" s="9" t="str">
        <x:v>Continuity and change</x:v>
      </x:c>
      <x:c r="D568" s="9" t="str">
        <x:v>Reproduction</x:v>
      </x:c>
      <x:c r="E568" s="9" t="str">
        <x:v>SL/HL</x:v>
      </x:c>
      <x:c r="F568" s="9" t="str">
        <x:v>Sexual reproduction</x:v>
      </x:c>
      <x:c r="G568" s="9" t="str">
        <x:v>Production of offspring involving meiosis and fusion of haploid gametes.</x:v>
      </x:c>
      <x:c r="H568" s="9" t="str">
        <x:v>OpenStax Biology 2e, 43 Animal Reproduction and Development</x:v>
      </x:c>
      <x:c r="I568" s="9" t="str">
        <x:v>https://openstax.org/books/biology-2e/pages/43-introduction</x:v>
      </x:c>
      <x:c r="J568" s="9" t="str">
        <x:v>Verified</x:v>
      </x:c>
    </x:row>
    <x:row r="569" ht="42" customHeight="1">
      <x:c r="A569" s="8" t="str">
        <x:v>D3.1-03</x:v>
      </x:c>
      <x:c r="B569" s="8" t="str">
        <x:v>D3.1</x:v>
      </x:c>
      <x:c r="C569" s="9" t="str">
        <x:v>Continuity and change</x:v>
      </x:c>
      <x:c r="D569" s="9" t="str">
        <x:v>Reproduction</x:v>
      </x:c>
      <x:c r="E569" s="9" t="str">
        <x:v>SL/HL</x:v>
      </x:c>
      <x:c r="F569" s="9" t="str">
        <x:v>Gamete</x:v>
      </x:c>
      <x:c r="G569" s="9" t="str">
        <x:v>A haploid reproductive cell capable of fusing with another during fertilization.</x:v>
      </x:c>
      <x:c r="H569" s="9" t="str">
        <x:v>OpenStax Biology 2e, 43 Animal Reproduction and Development</x:v>
      </x:c>
      <x:c r="I569" s="9" t="str">
        <x:v>https://openstax.org/books/biology-2e/pages/43-introduction</x:v>
      </x:c>
      <x:c r="J569" s="9" t="str">
        <x:v>Verified</x:v>
      </x:c>
    </x:row>
    <x:row r="570" ht="42" customHeight="1">
      <x:c r="A570" s="8" t="str">
        <x:v>D3.1-04</x:v>
      </x:c>
      <x:c r="B570" s="8" t="str">
        <x:v>D3.1</x:v>
      </x:c>
      <x:c r="C570" s="9" t="str">
        <x:v>Continuity and change</x:v>
      </x:c>
      <x:c r="D570" s="9" t="str">
        <x:v>Reproduction</x:v>
      </x:c>
      <x:c r="E570" s="9" t="str">
        <x:v>SL/HL</x:v>
      </x:c>
      <x:c r="F570" s="9" t="str">
        <x:v>Fertilization</x:v>
      </x:c>
      <x:c r="G570" s="9" t="str">
        <x:v>Fusion of haploid gamete nuclei to form a diploid zygote.</x:v>
      </x:c>
      <x:c r="H570" s="9" t="str">
        <x:v>OpenStax Biology 2e, 43 Animal Reproduction and Development</x:v>
      </x:c>
      <x:c r="I570" s="9" t="str">
        <x:v>https://openstax.org/books/biology-2e/pages/43-introduction</x:v>
      </x:c>
      <x:c r="J570" s="9" t="str">
        <x:v>Verified</x:v>
      </x:c>
    </x:row>
    <x:row r="571" ht="42" customHeight="1">
      <x:c r="A571" s="8" t="str">
        <x:v>D3.1-05</x:v>
      </x:c>
      <x:c r="B571" s="8" t="str">
        <x:v>D3.1</x:v>
      </x:c>
      <x:c r="C571" s="9" t="str">
        <x:v>Continuity and change</x:v>
      </x:c>
      <x:c r="D571" s="9" t="str">
        <x:v>Reproduction</x:v>
      </x:c>
      <x:c r="E571" s="9" t="str">
        <x:v>SL/HL</x:v>
      </x:c>
      <x:c r="F571" s="9" t="str">
        <x:v>Zygote</x:v>
      </x:c>
      <x:c r="G571" s="9" t="str">
        <x:v>The diploid cell formed by fusion of two haploid gametes.</x:v>
      </x:c>
      <x:c r="H571" s="9" t="str">
        <x:v>OpenStax Biology 2e, 43 Animal Reproduction and Development</x:v>
      </x:c>
      <x:c r="I571" s="9" t="str">
        <x:v>https://openstax.org/books/biology-2e/pages/43-introduction</x:v>
      </x:c>
      <x:c r="J571" s="9" t="str">
        <x:v>Verified</x:v>
      </x:c>
    </x:row>
    <x:row r="572" ht="42" customHeight="1">
      <x:c r="A572" s="8" t="str">
        <x:v>D3.1-06</x:v>
      </x:c>
      <x:c r="B572" s="8" t="str">
        <x:v>D3.1</x:v>
      </x:c>
      <x:c r="C572" s="9" t="str">
        <x:v>Continuity and change</x:v>
      </x:c>
      <x:c r="D572" s="9" t="str">
        <x:v>Reproduction</x:v>
      </x:c>
      <x:c r="E572" s="9" t="str">
        <x:v>SL/HL</x:v>
      </x:c>
      <x:c r="F572" s="9" t="str">
        <x:v>Gonad</x:v>
      </x:c>
      <x:c r="G572" s="9" t="str">
        <x:v>A reproductive organ that produces gametes and sex hormones.</x:v>
      </x:c>
      <x:c r="H572" s="9" t="str">
        <x:v>OpenStax Biology 2e, 43 Animal Reproduction and Development</x:v>
      </x:c>
      <x:c r="I572" s="9" t="str">
        <x:v>https://openstax.org/books/biology-2e/pages/43-introduction</x:v>
      </x:c>
      <x:c r="J572" s="9" t="str">
        <x:v>Verified</x:v>
      </x:c>
    </x:row>
    <x:row r="573" ht="42" customHeight="1">
      <x:c r="A573" s="8" t="str">
        <x:v>D3.1-07</x:v>
      </x:c>
      <x:c r="B573" s="8" t="str">
        <x:v>D3.1</x:v>
      </x:c>
      <x:c r="C573" s="9" t="str">
        <x:v>Continuity and change</x:v>
      </x:c>
      <x:c r="D573" s="9" t="str">
        <x:v>Reproduction</x:v>
      </x:c>
      <x:c r="E573" s="9" t="str">
        <x:v>SL/HL</x:v>
      </x:c>
      <x:c r="F573" s="9" t="str">
        <x:v>Spermatogenesis</x:v>
      </x:c>
      <x:c r="G573" s="9" t="str">
        <x:v>Production and maturation of sperm from diploid germ cells in the testes.</x:v>
      </x:c>
      <x:c r="H573" s="9" t="str">
        <x:v>OpenStax Biology 2e, 43 Animal Reproduction and Development</x:v>
      </x:c>
      <x:c r="I573" s="9" t="str">
        <x:v>https://openstax.org/books/biology-2e/pages/43-introduction</x:v>
      </x:c>
      <x:c r="J573" s="9" t="str">
        <x:v>Verified</x:v>
      </x:c>
    </x:row>
    <x:row r="574" ht="42" customHeight="1">
      <x:c r="A574" s="8" t="str">
        <x:v>D3.1-08</x:v>
      </x:c>
      <x:c r="B574" s="8" t="str">
        <x:v>D3.1</x:v>
      </x:c>
      <x:c r="C574" s="9" t="str">
        <x:v>Continuity and change</x:v>
      </x:c>
      <x:c r="D574" s="9" t="str">
        <x:v>Reproduction</x:v>
      </x:c>
      <x:c r="E574" s="9" t="str">
        <x:v>SL/HL</x:v>
      </x:c>
      <x:c r="F574" s="9" t="str">
        <x:v>Oogenesis</x:v>
      </x:c>
      <x:c r="G574" s="9" t="str">
        <x:v>Production and maturation of female gametes from diploid germ cells in the ovaries.</x:v>
      </x:c>
      <x:c r="H574" s="9" t="str">
        <x:v>OpenStax Biology 2e, 43 Animal Reproduction and Development</x:v>
      </x:c>
      <x:c r="I574" s="9" t="str">
        <x:v>https://openstax.org/books/biology-2e/pages/43-introduction</x:v>
      </x:c>
      <x:c r="J574" s="9" t="str">
        <x:v>Verified</x:v>
      </x:c>
    </x:row>
    <x:row r="575" ht="42" customHeight="1">
      <x:c r="A575" s="8" t="str">
        <x:v>D3.1-09</x:v>
      </x:c>
      <x:c r="B575" s="8" t="str">
        <x:v>D3.1</x:v>
      </x:c>
      <x:c r="C575" s="9" t="str">
        <x:v>Continuity and change</x:v>
      </x:c>
      <x:c r="D575" s="9" t="str">
        <x:v>Reproduction</x:v>
      </x:c>
      <x:c r="E575" s="9" t="str">
        <x:v>SL/HL</x:v>
      </x:c>
      <x:c r="F575" s="9" t="str">
        <x:v>Ovulation</x:v>
      </x:c>
      <x:c r="G575" s="9" t="str">
        <x:v>Release of a secondary oocyte from an ovarian follicle.</x:v>
      </x:c>
      <x:c r="H575" s="9" t="str">
        <x:v>OpenStax Biology 2e, 43 Animal Reproduction and Development</x:v>
      </x:c>
      <x:c r="I575" s="9" t="str">
        <x:v>https://openstax.org/books/biology-2e/pages/43-introduction</x:v>
      </x:c>
      <x:c r="J575" s="9" t="str">
        <x:v>Verified</x:v>
      </x:c>
    </x:row>
    <x:row r="576" ht="42" customHeight="1">
      <x:c r="A576" s="8" t="str">
        <x:v>D3.1-10</x:v>
      </x:c>
      <x:c r="B576" s="8" t="str">
        <x:v>D3.1</x:v>
      </x:c>
      <x:c r="C576" s="9" t="str">
        <x:v>Continuity and change</x:v>
      </x:c>
      <x:c r="D576" s="9" t="str">
        <x:v>Reproduction</x:v>
      </x:c>
      <x:c r="E576" s="9" t="str">
        <x:v>SL/HL</x:v>
      </x:c>
      <x:c r="F576" s="9" t="str">
        <x:v>Follicle-stimulating hormone (FSH)</x:v>
      </x:c>
      <x:c r="G576" s="9" t="str">
        <x:v>A pituitary hormone that supports ovarian follicle development and sperm production.</x:v>
      </x:c>
      <x:c r="H576" s="9" t="str">
        <x:v>OpenStax Biology 2e, 43 Animal Reproduction and Development</x:v>
      </x:c>
      <x:c r="I576" s="9" t="str">
        <x:v>https://openstax.org/books/biology-2e/pages/43-introduction</x:v>
      </x:c>
      <x:c r="J576" s="9" t="str">
        <x:v>Verified</x:v>
      </x:c>
    </x:row>
    <x:row r="577" ht="42" customHeight="1">
      <x:c r="A577" s="8" t="str">
        <x:v>D3.1-11</x:v>
      </x:c>
      <x:c r="B577" s="8" t="str">
        <x:v>D3.1</x:v>
      </x:c>
      <x:c r="C577" s="9" t="str">
        <x:v>Continuity and change</x:v>
      </x:c>
      <x:c r="D577" s="9" t="str">
        <x:v>Reproduction</x:v>
      </x:c>
      <x:c r="E577" s="9" t="str">
        <x:v>SL/HL</x:v>
      </x:c>
      <x:c r="F577" s="9" t="str">
        <x:v>Luteinizing hormone (LH)</x:v>
      </x:c>
      <x:c r="G577" s="9" t="str">
        <x:v>A pituitary hormone that triggers ovulation and stimulates gonadal steroid secretion.</x:v>
      </x:c>
      <x:c r="H577" s="9" t="str">
        <x:v>OpenStax Biology 2e, 43 Animal Reproduction and Development</x:v>
      </x:c>
      <x:c r="I577" s="9" t="str">
        <x:v>https://openstax.org/books/biology-2e/pages/43-introduction</x:v>
      </x:c>
      <x:c r="J577" s="9" t="str">
        <x:v>Verified</x:v>
      </x:c>
    </x:row>
    <x:row r="578" ht="42" customHeight="1">
      <x:c r="A578" s="8" t="str">
        <x:v>D3.1-12</x:v>
      </x:c>
      <x:c r="B578" s="8" t="str">
        <x:v>D3.1</x:v>
      </x:c>
      <x:c r="C578" s="9" t="str">
        <x:v>Continuity and change</x:v>
      </x:c>
      <x:c r="D578" s="9" t="str">
        <x:v>Reproduction</x:v>
      </x:c>
      <x:c r="E578" s="9" t="str">
        <x:v>SL/HL</x:v>
      </x:c>
      <x:c r="F578" s="9" t="str">
        <x:v>Estrogen</x:v>
      </x:c>
      <x:c r="G578" s="9" t="str">
        <x:v>A class of steroid hormones that regulates reproductive tissues and contributes to the uterine cycle.</x:v>
      </x:c>
      <x:c r="H578" s="9" t="str">
        <x:v>OpenStax Biology 2e, 43 Animal Reproduction and Development</x:v>
      </x:c>
      <x:c r="I578" s="9" t="str">
        <x:v>https://openstax.org/books/biology-2e/pages/43-introduction</x:v>
      </x:c>
      <x:c r="J578" s="9" t="str">
        <x:v>Verified</x:v>
      </x:c>
    </x:row>
    <x:row r="579" ht="42" customHeight="1">
      <x:c r="A579" s="8" t="str">
        <x:v>D3.1-13</x:v>
      </x:c>
      <x:c r="B579" s="8" t="str">
        <x:v>D3.1</x:v>
      </x:c>
      <x:c r="C579" s="9" t="str">
        <x:v>Continuity and change</x:v>
      </x:c>
      <x:c r="D579" s="9" t="str">
        <x:v>Reproduction</x:v>
      </x:c>
      <x:c r="E579" s="9" t="str">
        <x:v>SL/HL</x:v>
      </x:c>
      <x:c r="F579" s="9" t="str">
        <x:v>Progesterone</x:v>
      </x:c>
      <x:c r="G579" s="9" t="str">
        <x:v>A steroid hormone that helps maintain the uterine lining after ovulation and during pregnancy.</x:v>
      </x:c>
      <x:c r="H579" s="9" t="str">
        <x:v>OpenStax Biology 2e, 43 Animal Reproduction and Development</x:v>
      </x:c>
      <x:c r="I579" s="9" t="str">
        <x:v>https://openstax.org/books/biology-2e/pages/43-introduction</x:v>
      </x:c>
      <x:c r="J579" s="9" t="str">
        <x:v>Verified</x:v>
      </x:c>
    </x:row>
    <x:row r="580" ht="42" customHeight="1">
      <x:c r="A580" s="8" t="str">
        <x:v>D3.1-14</x:v>
      </x:c>
      <x:c r="B580" s="8" t="str">
        <x:v>D3.1</x:v>
      </x:c>
      <x:c r="C580" s="9" t="str">
        <x:v>Continuity and change</x:v>
      </x:c>
      <x:c r="D580" s="9" t="str">
        <x:v>Reproduction</x:v>
      </x:c>
      <x:c r="E580" s="9" t="str">
        <x:v>SL/HL</x:v>
      </x:c>
      <x:c r="F580" s="9" t="str">
        <x:v>Implantation</x:v>
      </x:c>
      <x:c r="G580" s="9" t="str">
        <x:v>Attachment and embedding of an early embryo in the uterine lining.</x:v>
      </x:c>
      <x:c r="H580" s="9" t="str">
        <x:v>OpenStax Biology 2e, 43 Animal Reproduction and Development</x:v>
      </x:c>
      <x:c r="I580" s="9" t="str">
        <x:v>https://openstax.org/books/biology-2e/pages/43-introduction</x:v>
      </x:c>
      <x:c r="J580" s="9" t="str">
        <x:v>Verified</x:v>
      </x:c>
    </x:row>
    <x:row r="581" ht="42" customHeight="1">
      <x:c r="A581" s="8" t="str">
        <x:v>D3.1-15</x:v>
      </x:c>
      <x:c r="B581" s="8" t="str">
        <x:v>D3.1</x:v>
      </x:c>
      <x:c r="C581" s="9" t="str">
        <x:v>Continuity and change</x:v>
      </x:c>
      <x:c r="D581" s="9" t="str">
        <x:v>Reproduction</x:v>
      </x:c>
      <x:c r="E581" s="9" t="str">
        <x:v>SL/HL</x:v>
      </x:c>
      <x:c r="F581" s="9" t="str">
        <x:v>Placenta</x:v>
      </x:c>
      <x:c r="G581" s="9" t="str">
        <x:v>A temporary organ enabling exchange and endocrine communication while normally keeping maternal and fetal circulations separate.</x:v>
      </x:c>
      <x:c r="H581" s="9" t="str">
        <x:v>OpenStax Biology 2e, 43 Animal Reproduction and Development</x:v>
      </x:c>
      <x:c r="I581" s="9" t="str">
        <x:v>https://openstax.org/books/biology-2e/pages/43-introduction</x:v>
      </x:c>
      <x:c r="J581" s="9" t="str">
        <x:v>Verified</x:v>
      </x:c>
    </x:row>
    <x:row r="582" ht="42" customHeight="1">
      <x:c r="A582" s="8" t="str">
        <x:v>D3.1-16</x:v>
      </x:c>
      <x:c r="B582" s="8" t="str">
        <x:v>D3.1</x:v>
      </x:c>
      <x:c r="C582" s="9" t="str">
        <x:v>Continuity and change</x:v>
      </x:c>
      <x:c r="D582" s="9" t="str">
        <x:v>Reproduction</x:v>
      </x:c>
      <x:c r="E582" s="9" t="str">
        <x:v>SL/HL</x:v>
      </x:c>
      <x:c r="F582" s="9" t="str">
        <x:v>In vitro fertilization (IVF)</x:v>
      </x:c>
      <x:c r="G582" s="9" t="str">
        <x:v>Fertilization of oocytes outside the body followed by transfer of an embryo to the uterus.</x:v>
      </x:c>
      <x:c r="H582" s="9" t="str">
        <x:v>OpenStax Biology 2e, 43 Animal Reproduction and Development</x:v>
      </x:c>
      <x:c r="I582" s="9" t="str">
        <x:v>https://openstax.org/books/biology-2e/pages/43-introduction</x:v>
      </x:c>
      <x:c r="J582" s="9" t="str">
        <x:v>Verified</x:v>
      </x:c>
    </x:row>
    <x:row r="583" ht="42" customHeight="1">
      <x:c r="A583" s="8" t="str">
        <x:v>D3.1-17</x:v>
      </x:c>
      <x:c r="B583" s="8" t="str">
        <x:v>D3.1</x:v>
      </x:c>
      <x:c r="C583" s="9" t="str">
        <x:v>Continuity and change</x:v>
      </x:c>
      <x:c r="D583" s="9" t="str">
        <x:v>Reproduction</x:v>
      </x:c>
      <x:c r="E583" s="9" t="str">
        <x:v>SL/HL</x:v>
      </x:c>
      <x:c r="F583" s="9" t="str">
        <x:v>Pollination</x:v>
      </x:c>
      <x:c r="G583" s="9" t="str">
        <x:v>Transfer of pollen from an anther to a receptive stigma in flowering plants.</x:v>
      </x:c>
      <x:c r="H583" s="9" t="str">
        <x:v>OpenStax Biology 2e, 32.2 Pollination and Fertilization</x:v>
      </x:c>
      <x:c r="I583" s="9" t="str">
        <x:v>https://openstax.org/books/biology-2e/pages/32-2-pollination-and-fertilization</x:v>
      </x:c>
      <x:c r="J583" s="9" t="str">
        <x:v>Verified</x:v>
      </x:c>
    </x:row>
    <x:row r="584" ht="42" customHeight="1">
      <x:c r="A584" s="8" t="str">
        <x:v>D3.1-18</x:v>
      </x:c>
      <x:c r="B584" s="8" t="str">
        <x:v>D3.1</x:v>
      </x:c>
      <x:c r="C584" s="9" t="str">
        <x:v>Continuity and change</x:v>
      </x:c>
      <x:c r="D584" s="9" t="str">
        <x:v>Reproduction</x:v>
      </x:c>
      <x:c r="E584" s="9" t="str">
        <x:v>SL/HL</x:v>
      </x:c>
      <x:c r="F584" s="9" t="str">
        <x:v>Pollen tube</x:v>
      </x:c>
      <x:c r="G584" s="9" t="str">
        <x:v>A tubular outgrowth of a pollen grain that delivers sperm cells to an ovule.</x:v>
      </x:c>
      <x:c r="H584" s="9" t="str">
        <x:v>OpenStax Biology 2e, 32.2 Pollination and Fertilization</x:v>
      </x:c>
      <x:c r="I584" s="9" t="str">
        <x:v>https://openstax.org/books/biology-2e/pages/32-2-pollination-and-fertilization</x:v>
      </x:c>
      <x:c r="J584" s="9" t="str">
        <x:v>Verified</x:v>
      </x:c>
    </x:row>
    <x:row r="585" ht="42" customHeight="1">
      <x:c r="A585" s="8" t="str">
        <x:v>D3.1-19</x:v>
      </x:c>
      <x:c r="B585" s="8" t="str">
        <x:v>D3.1</x:v>
      </x:c>
      <x:c r="C585" s="9" t="str">
        <x:v>Continuity and change</x:v>
      </x:c>
      <x:c r="D585" s="9" t="str">
        <x:v>Reproduction</x:v>
      </x:c>
      <x:c r="E585" s="9" t="str">
        <x:v>SL/HL</x:v>
      </x:c>
      <x:c r="F585" s="9" t="str">
        <x:v>Double fertilization</x:v>
      </x:c>
      <x:c r="G585" s="9" t="str">
        <x:v>Angiosperm process in which one sperm forms a zygote and another forms triploid endosperm.</x:v>
      </x:c>
      <x:c r="H585" s="9" t="str">
        <x:v>OpenStax Biology 2e, 32.2 Pollination and Fertilization</x:v>
      </x:c>
      <x:c r="I585" s="9" t="str">
        <x:v>https://openstax.org/books/biology-2e/pages/32-2-pollination-and-fertilization</x:v>
      </x:c>
      <x:c r="J585" s="9" t="str">
        <x:v>Verified</x:v>
      </x:c>
    </x:row>
    <x:row r="586" ht="42" customHeight="1">
      <x:c r="A586" s="8" t="str">
        <x:v>D3.1-20</x:v>
      </x:c>
      <x:c r="B586" s="8" t="str">
        <x:v>D3.1</x:v>
      </x:c>
      <x:c r="C586" s="9" t="str">
        <x:v>Continuity and change</x:v>
      </x:c>
      <x:c r="D586" s="9" t="str">
        <x:v>Reproduction</x:v>
      </x:c>
      <x:c r="E586" s="9" t="str">
        <x:v>SL/HL</x:v>
      </x:c>
      <x:c r="F586" s="9" t="str">
        <x:v>Seed dispersal</x:v>
      </x:c>
      <x:c r="G586" s="9" t="str">
        <x:v>Movement of seeds away from the parent plant by wind, water, animals, or mechanical means.</x:v>
      </x:c>
      <x:c r="H586" s="9" t="str">
        <x:v>OpenStax Biology 2e, 32.2 Pollination and Fertilization</x:v>
      </x:c>
      <x:c r="I586" s="9" t="str">
        <x:v>https://openstax.org/books/biology-2e/pages/32-2-pollination-and-fertilization</x:v>
      </x:c>
      <x:c r="J586" s="9" t="str">
        <x:v>Verified</x:v>
      </x:c>
    </x:row>
    <x:row r="587" ht="42" customHeight="1">
      <x:c r="A587" s="8" t="str">
        <x:v>D3.2-01</x:v>
      </x:c>
      <x:c r="B587" s="8" t="str">
        <x:v>D3.2</x:v>
      </x:c>
      <x:c r="C587" s="9" t="str">
        <x:v>Continuity and change</x:v>
      </x:c>
      <x:c r="D587" s="9" t="str">
        <x:v>Inheritance</x:v>
      </x:c>
      <x:c r="E587" s="9" t="str">
        <x:v>SL/HL</x:v>
      </x:c>
      <x:c r="F587" s="9" t="str">
        <x:v>Locus</x:v>
      </x:c>
      <x:c r="G587" s="9" t="str">
        <x:v>The physical position of a gene or genetic marker on a chromosome.</x:v>
      </x:c>
      <x:c r="H587" s="9" t="str">
        <x:v>OpenStax Biology 2e, 12 Mendel’s Experiments and Heredity</x:v>
      </x:c>
      <x:c r="I587" s="9" t="str">
        <x:v>https://openstax.org/books/biology-2e/pages/12-introduction</x:v>
      </x:c>
      <x:c r="J587" s="9" t="str">
        <x:v>Verified</x:v>
      </x:c>
    </x:row>
    <x:row r="588" ht="42" customHeight="1">
      <x:c r="A588" s="8" t="str">
        <x:v>D3.2-02</x:v>
      </x:c>
      <x:c r="B588" s="8" t="str">
        <x:v>D3.2</x:v>
      </x:c>
      <x:c r="C588" s="9" t="str">
        <x:v>Continuity and change</x:v>
      </x:c>
      <x:c r="D588" s="9" t="str">
        <x:v>Inheritance</x:v>
      </x:c>
      <x:c r="E588" s="9" t="str">
        <x:v>SL/HL</x:v>
      </x:c>
      <x:c r="F588" s="9" t="str">
        <x:v>Allele</x:v>
      </x:c>
      <x:c r="G588" s="9" t="str">
        <x:v>One of two or more alternative DNA sequences at the same genetic locus.</x:v>
      </x:c>
      <x:c r="H588" s="9" t="str">
        <x:v>OpenStax Biology 2e, 12 Mendel’s Experiments and Heredity</x:v>
      </x:c>
      <x:c r="I588" s="9" t="str">
        <x:v>https://openstax.org/books/biology-2e/pages/12-introduction</x:v>
      </x:c>
      <x:c r="J588" s="9" t="str">
        <x:v>Verified</x:v>
      </x:c>
    </x:row>
    <x:row r="589" ht="42" customHeight="1">
      <x:c r="A589" s="8" t="str">
        <x:v>D3.2-03</x:v>
      </x:c>
      <x:c r="B589" s="8" t="str">
        <x:v>D3.2</x:v>
      </x:c>
      <x:c r="C589" s="9" t="str">
        <x:v>Continuity and change</x:v>
      </x:c>
      <x:c r="D589" s="9" t="str">
        <x:v>Inheritance</x:v>
      </x:c>
      <x:c r="E589" s="9" t="str">
        <x:v>SL/HL</x:v>
      </x:c>
      <x:c r="F589" s="9" t="str">
        <x:v>Genotype</x:v>
      </x:c>
      <x:c r="G589" s="9" t="str">
        <x:v>The allele combination of an organism at one or more specified loci.</x:v>
      </x:c>
      <x:c r="H589" s="9" t="str">
        <x:v>OpenStax Biology 2e, 12 Mendel’s Experiments and Heredity</x:v>
      </x:c>
      <x:c r="I589" s="9" t="str">
        <x:v>https://openstax.org/books/biology-2e/pages/12-introduction</x:v>
      </x:c>
      <x:c r="J589" s="9" t="str">
        <x:v>Verified</x:v>
      </x:c>
    </x:row>
    <x:row r="590" ht="42" customHeight="1">
      <x:c r="A590" s="8" t="str">
        <x:v>D3.2-04</x:v>
      </x:c>
      <x:c r="B590" s="8" t="str">
        <x:v>D3.2</x:v>
      </x:c>
      <x:c r="C590" s="9" t="str">
        <x:v>Continuity and change</x:v>
      </x:c>
      <x:c r="D590" s="9" t="str">
        <x:v>Inheritance</x:v>
      </x:c>
      <x:c r="E590" s="9" t="str">
        <x:v>SL/HL</x:v>
      </x:c>
      <x:c r="F590" s="9" t="str">
        <x:v>Phenotype</x:v>
      </x:c>
      <x:c r="G590" s="9" t="str">
        <x:v>An observable or measurable characteristic produced by genotype, environment, and their interaction.</x:v>
      </x:c>
      <x:c r="H590" s="9" t="str">
        <x:v>OpenStax Biology 2e, 12 Mendel’s Experiments and Heredity</x:v>
      </x:c>
      <x:c r="I590" s="9" t="str">
        <x:v>https://openstax.org/books/biology-2e/pages/12-introduction</x:v>
      </x:c>
      <x:c r="J590" s="9" t="str">
        <x:v>Verified</x:v>
      </x:c>
    </x:row>
    <x:row r="591" ht="42" customHeight="1">
      <x:c r="A591" s="8" t="str">
        <x:v>D3.2-05</x:v>
      </x:c>
      <x:c r="B591" s="8" t="str">
        <x:v>D3.2</x:v>
      </x:c>
      <x:c r="C591" s="9" t="str">
        <x:v>Continuity and change</x:v>
      </x:c>
      <x:c r="D591" s="9" t="str">
        <x:v>Inheritance</x:v>
      </x:c>
      <x:c r="E591" s="9" t="str">
        <x:v>SL/HL</x:v>
      </x:c>
      <x:c r="F591" s="9" t="str">
        <x:v>Homozygous</x:v>
      </x:c>
      <x:c r="G591" s="9" t="str">
        <x:v>Having identical alleles at a specified locus in a diploid organism.</x:v>
      </x:c>
      <x:c r="H591" s="9" t="str">
        <x:v>OpenStax Biology 2e, 12 Mendel’s Experiments and Heredity</x:v>
      </x:c>
      <x:c r="I591" s="9" t="str">
        <x:v>https://openstax.org/books/biology-2e/pages/12-introduction</x:v>
      </x:c>
      <x:c r="J591" s="9" t="str">
        <x:v>Verified</x:v>
      </x:c>
    </x:row>
    <x:row r="592" ht="42" customHeight="1">
      <x:c r="A592" s="8" t="str">
        <x:v>D3.2-06</x:v>
      </x:c>
      <x:c r="B592" s="8" t="str">
        <x:v>D3.2</x:v>
      </x:c>
      <x:c r="C592" s="9" t="str">
        <x:v>Continuity and change</x:v>
      </x:c>
      <x:c r="D592" s="9" t="str">
        <x:v>Inheritance</x:v>
      </x:c>
      <x:c r="E592" s="9" t="str">
        <x:v>SL/HL</x:v>
      </x:c>
      <x:c r="F592" s="9" t="str">
        <x:v>Heterozygous</x:v>
      </x:c>
      <x:c r="G592" s="9" t="str">
        <x:v>Having two different alleles at a specified locus in a diploid organism.</x:v>
      </x:c>
      <x:c r="H592" s="9" t="str">
        <x:v>OpenStax Biology 2e, 12 Mendel’s Experiments and Heredity</x:v>
      </x:c>
      <x:c r="I592" s="9" t="str">
        <x:v>https://openstax.org/books/biology-2e/pages/12-introduction</x:v>
      </x:c>
      <x:c r="J592" s="9" t="str">
        <x:v>Verified</x:v>
      </x:c>
    </x:row>
    <x:row r="593" ht="42" customHeight="1">
      <x:c r="A593" s="8" t="str">
        <x:v>D3.2-07</x:v>
      </x:c>
      <x:c r="B593" s="8" t="str">
        <x:v>D3.2</x:v>
      </x:c>
      <x:c r="C593" s="9" t="str">
        <x:v>Continuity and change</x:v>
      </x:c>
      <x:c r="D593" s="9" t="str">
        <x:v>Inheritance</x:v>
      </x:c>
      <x:c r="E593" s="9" t="str">
        <x:v>SL/HL</x:v>
      </x:c>
      <x:c r="F593" s="9" t="str">
        <x:v>Dominant allele</x:v>
      </x:c>
      <x:c r="G593" s="9" t="str">
        <x:v>An allele expressed in the phenotype of a heterozygote under complete dominance.</x:v>
      </x:c>
      <x:c r="H593" s="9" t="str">
        <x:v>OpenStax Biology 2e, 12 Mendel’s Experiments and Heredity</x:v>
      </x:c>
      <x:c r="I593" s="9" t="str">
        <x:v>https://openstax.org/books/biology-2e/pages/12-introduction</x:v>
      </x:c>
      <x:c r="J593" s="9" t="str">
        <x:v>Verified</x:v>
      </x:c>
    </x:row>
    <x:row r="594" ht="42" customHeight="1">
      <x:c r="A594" s="8" t="str">
        <x:v>D3.2-08</x:v>
      </x:c>
      <x:c r="B594" s="8" t="str">
        <x:v>D3.2</x:v>
      </x:c>
      <x:c r="C594" s="9" t="str">
        <x:v>Continuity and change</x:v>
      </x:c>
      <x:c r="D594" s="9" t="str">
        <x:v>Inheritance</x:v>
      </x:c>
      <x:c r="E594" s="9" t="str">
        <x:v>SL/HL</x:v>
      </x:c>
      <x:c r="F594" s="9" t="str">
        <x:v>Recessive allele</x:v>
      </x:c>
      <x:c r="G594" s="9" t="str">
        <x:v>An allele whose effect under complete dominance is masked in a heterozygote.</x:v>
      </x:c>
      <x:c r="H594" s="9" t="str">
        <x:v>OpenStax Biology 2e, 12 Mendel’s Experiments and Heredity</x:v>
      </x:c>
      <x:c r="I594" s="9" t="str">
        <x:v>https://openstax.org/books/biology-2e/pages/12-introduction</x:v>
      </x:c>
      <x:c r="J594" s="9" t="str">
        <x:v>Verified</x:v>
      </x:c>
    </x:row>
    <x:row r="595" ht="42" customHeight="1">
      <x:c r="A595" s="8" t="str">
        <x:v>D3.2-09</x:v>
      </x:c>
      <x:c r="B595" s="8" t="str">
        <x:v>D3.2</x:v>
      </x:c>
      <x:c r="C595" s="9" t="str">
        <x:v>Continuity and change</x:v>
      </x:c>
      <x:c r="D595" s="9" t="str">
        <x:v>Inheritance</x:v>
      </x:c>
      <x:c r="E595" s="9" t="str">
        <x:v>SL/HL</x:v>
      </x:c>
      <x:c r="F595" s="9" t="str">
        <x:v>Codominance</x:v>
      </x:c>
      <x:c r="G595" s="9" t="str">
        <x:v>An inheritance pattern in which both alleles are distinctly expressed in a heterozygote.</x:v>
      </x:c>
      <x:c r="H595" s="9" t="str">
        <x:v>OpenStax Biology 2e, 12 Mendel’s Experiments and Heredity</x:v>
      </x:c>
      <x:c r="I595" s="9" t="str">
        <x:v>https://openstax.org/books/biology-2e/pages/12-introduction</x:v>
      </x:c>
      <x:c r="J595" s="9" t="str">
        <x:v>Verified</x:v>
      </x:c>
    </x:row>
    <x:row r="596" ht="42" customHeight="1">
      <x:c r="A596" s="8" t="str">
        <x:v>D3.2-10</x:v>
      </x:c>
      <x:c r="B596" s="8" t="str">
        <x:v>D3.2</x:v>
      </x:c>
      <x:c r="C596" s="9" t="str">
        <x:v>Continuity and change</x:v>
      </x:c>
      <x:c r="D596" s="9" t="str">
        <x:v>Inheritance</x:v>
      </x:c>
      <x:c r="E596" s="9" t="str">
        <x:v>SL/HL</x:v>
      </x:c>
      <x:c r="F596" s="9" t="str">
        <x:v>Incomplete dominance</x:v>
      </x:c>
      <x:c r="G596" s="9" t="str">
        <x:v>An inheritance pattern in which the heterozygote has a phenotype intermediate between the two homozygotes.</x:v>
      </x:c>
      <x:c r="H596" s="9" t="str">
        <x:v>OpenStax Biology 2e, 12 Mendel’s Experiments and Heredity</x:v>
      </x:c>
      <x:c r="I596" s="9" t="str">
        <x:v>https://openstax.org/books/biology-2e/pages/12-introduction</x:v>
      </x:c>
      <x:c r="J596" s="9" t="str">
        <x:v>Verified</x:v>
      </x:c>
    </x:row>
    <x:row r="597" ht="42" customHeight="1">
      <x:c r="A597" s="8" t="str">
        <x:v>D3.2-11</x:v>
      </x:c>
      <x:c r="B597" s="8" t="str">
        <x:v>D3.2</x:v>
      </x:c>
      <x:c r="C597" s="9" t="str">
        <x:v>Continuity and change</x:v>
      </x:c>
      <x:c r="D597" s="9" t="str">
        <x:v>Inheritance</x:v>
      </x:c>
      <x:c r="E597" s="9" t="str">
        <x:v>SL/HL</x:v>
      </x:c>
      <x:c r="F597" s="9" t="str">
        <x:v>Multiple alleles</x:v>
      </x:c>
      <x:c r="G597" s="9" t="str">
        <x:v>The existence of more than two alternative alleles at one locus within a population.</x:v>
      </x:c>
      <x:c r="H597" s="9" t="str">
        <x:v>OpenStax Biology 2e, 12 Mendel’s Experiments and Heredity</x:v>
      </x:c>
      <x:c r="I597" s="9" t="str">
        <x:v>https://openstax.org/books/biology-2e/pages/12-introduction</x:v>
      </x:c>
      <x:c r="J597" s="9" t="str">
        <x:v>Verified</x:v>
      </x:c>
    </x:row>
    <x:row r="598" ht="42" customHeight="1">
      <x:c r="A598" s="8" t="str">
        <x:v>D3.2-12</x:v>
      </x:c>
      <x:c r="B598" s="8" t="str">
        <x:v>D3.2</x:v>
      </x:c>
      <x:c r="C598" s="9" t="str">
        <x:v>Continuity and change</x:v>
      </x:c>
      <x:c r="D598" s="9" t="str">
        <x:v>Inheritance</x:v>
      </x:c>
      <x:c r="E598" s="9" t="str">
        <x:v>SL/HL</x:v>
      </x:c>
      <x:c r="F598" s="9" t="str">
        <x:v>Sex-linked gene</x:v>
      </x:c>
      <x:c r="G598" s="9" t="str">
        <x:v>A gene located on a sex chromosome, producing inheritance patterns that depend on chromosomal sex.</x:v>
      </x:c>
      <x:c r="H598" s="9" t="str">
        <x:v>OpenStax Biology 2e, 12 Mendel’s Experiments and Heredity</x:v>
      </x:c>
      <x:c r="I598" s="9" t="str">
        <x:v>https://openstax.org/books/biology-2e/pages/12-introduction</x:v>
      </x:c>
      <x:c r="J598" s="9" t="str">
        <x:v>Verified</x:v>
      </x:c>
    </x:row>
    <x:row r="599" ht="42" customHeight="1">
      <x:c r="A599" s="8" t="str">
        <x:v>D3.2-13</x:v>
      </x:c>
      <x:c r="B599" s="8" t="str">
        <x:v>D3.2</x:v>
      </x:c>
      <x:c r="C599" s="9" t="str">
        <x:v>Continuity and change</x:v>
      </x:c>
      <x:c r="D599" s="9" t="str">
        <x:v>Inheritance</x:v>
      </x:c>
      <x:c r="E599" s="9" t="str">
        <x:v>SL/HL</x:v>
      </x:c>
      <x:c r="F599" s="9" t="str">
        <x:v>Autosome</x:v>
      </x:c>
      <x:c r="G599" s="9" t="str">
        <x:v>A chromosome not classified as a sex chromosome.</x:v>
      </x:c>
      <x:c r="H599" s="9" t="str">
        <x:v>OpenStax Biology 2e, 12 Mendel’s Experiments and Heredity</x:v>
      </x:c>
      <x:c r="I599" s="9" t="str">
        <x:v>https://openstax.org/books/biology-2e/pages/12-introduction</x:v>
      </x:c>
      <x:c r="J599" s="9" t="str">
        <x:v>Verified</x:v>
      </x:c>
    </x:row>
    <x:row r="600" ht="42" customHeight="1">
      <x:c r="A600" s="8" t="str">
        <x:v>D3.2-14</x:v>
      </x:c>
      <x:c r="B600" s="8" t="str">
        <x:v>D3.2</x:v>
      </x:c>
      <x:c r="C600" s="9" t="str">
        <x:v>Continuity and change</x:v>
      </x:c>
      <x:c r="D600" s="9" t="str">
        <x:v>Inheritance</x:v>
      </x:c>
      <x:c r="E600" s="9" t="str">
        <x:v>SL/HL</x:v>
      </x:c>
      <x:c r="F600" s="9" t="str">
        <x:v>Genetic carrier</x:v>
      </x:c>
      <x:c r="G600" s="9" t="str">
        <x:v>A heterozygous individual who can transmit a recessive disease allele without showing the disease phenotype.</x:v>
      </x:c>
      <x:c r="H600" s="9" t="str">
        <x:v>OpenStax Biology 2e, 12 Mendel’s Experiments and Heredity</x:v>
      </x:c>
      <x:c r="I600" s="9" t="str">
        <x:v>https://openstax.org/books/biology-2e/pages/12-introduction</x:v>
      </x:c>
      <x:c r="J600" s="9" t="str">
        <x:v>Verified</x:v>
      </x:c>
    </x:row>
    <x:row r="601" ht="42" customHeight="1">
      <x:c r="A601" s="8" t="str">
        <x:v>D3.2-15</x:v>
      </x:c>
      <x:c r="B601" s="8" t="str">
        <x:v>D3.2</x:v>
      </x:c>
      <x:c r="C601" s="9" t="str">
        <x:v>Continuity and change</x:v>
      </x:c>
      <x:c r="D601" s="9" t="str">
        <x:v>Inheritance</x:v>
      </x:c>
      <x:c r="E601" s="9" t="str">
        <x:v>SL/HL</x:v>
      </x:c>
      <x:c r="F601" s="9" t="str">
        <x:v>Punnett square</x:v>
      </x:c>
      <x:c r="G601" s="9" t="str">
        <x:v>A grid used to display possible gamete combinations and predict offspring genotype probabilities.</x:v>
      </x:c>
      <x:c r="H601" s="9" t="str">
        <x:v>OpenStax Biology 2e, 12 Mendel’s Experiments and Heredity</x:v>
      </x:c>
      <x:c r="I601" s="9" t="str">
        <x:v>https://openstax.org/books/biology-2e/pages/12-introduction</x:v>
      </x:c>
      <x:c r="J601" s="9" t="str">
        <x:v>Verified</x:v>
      </x:c>
    </x:row>
    <x:row r="602" ht="42" customHeight="1">
      <x:c r="A602" s="8" t="str">
        <x:v>D3.2-16</x:v>
      </x:c>
      <x:c r="B602" s="8" t="str">
        <x:v>D3.2</x:v>
      </x:c>
      <x:c r="C602" s="9" t="str">
        <x:v>Continuity and change</x:v>
      </x:c>
      <x:c r="D602" s="9" t="str">
        <x:v>Inheritance</x:v>
      </x:c>
      <x:c r="E602" s="9" t="str">
        <x:v>SL/HL</x:v>
      </x:c>
      <x:c r="F602" s="9" t="str">
        <x:v>Test cross</x:v>
      </x:c>
      <x:c r="G602" s="9" t="str">
        <x:v>A cross with a homozygous recessive individual used to infer an unknown dominant phenotype’s genotype.</x:v>
      </x:c>
      <x:c r="H602" s="9" t="str">
        <x:v>OpenStax Biology 2e, 12 Mendel’s Experiments and Heredity</x:v>
      </x:c>
      <x:c r="I602" s="9" t="str">
        <x:v>https://openstax.org/books/biology-2e/pages/12-introduction</x:v>
      </x:c>
      <x:c r="J602" s="9" t="str">
        <x:v>Verified</x:v>
      </x:c>
    </x:row>
    <x:row r="603" ht="42" customHeight="1">
      <x:c r="A603" s="8" t="str">
        <x:v>D3.2-17</x:v>
      </x:c>
      <x:c r="B603" s="8" t="str">
        <x:v>D3.2</x:v>
      </x:c>
      <x:c r="C603" s="9" t="str">
        <x:v>Continuity and change</x:v>
      </x:c>
      <x:c r="D603" s="9" t="str">
        <x:v>Inheritance</x:v>
      </x:c>
      <x:c r="E603" s="9" t="str">
        <x:v>SL/HL</x:v>
      </x:c>
      <x:c r="F603" s="9" t="str">
        <x:v>Monohybrid cross</x:v>
      </x:c>
      <x:c r="G603" s="9" t="str">
        <x:v>A genetic cross that tracks inheritance at one locus.</x:v>
      </x:c>
      <x:c r="H603" s="9" t="str">
        <x:v>OpenStax Biology 2e, 12 Mendel’s Experiments and Heredity</x:v>
      </x:c>
      <x:c r="I603" s="9" t="str">
        <x:v>https://openstax.org/books/biology-2e/pages/12-introduction</x:v>
      </x:c>
      <x:c r="J603" s="9" t="str">
        <x:v>Verified</x:v>
      </x:c>
    </x:row>
    <x:row r="604" ht="42" customHeight="1">
      <x:c r="A604" s="8" t="str">
        <x:v>D3.2-18</x:v>
      </x:c>
      <x:c r="B604" s="8" t="str">
        <x:v>D3.2</x:v>
      </x:c>
      <x:c r="C604" s="9" t="str">
        <x:v>Continuity and change</x:v>
      </x:c>
      <x:c r="D604" s="9" t="str">
        <x:v>Inheritance</x:v>
      </x:c>
      <x:c r="E604" s="9" t="str">
        <x:v>SL/HL</x:v>
      </x:c>
      <x:c r="F604" s="9" t="str">
        <x:v>Dihybrid cross</x:v>
      </x:c>
      <x:c r="G604" s="9" t="str">
        <x:v>A genetic cross that tracks inheritance at two loci simultaneously.</x:v>
      </x:c>
      <x:c r="H604" s="9" t="str">
        <x:v>OpenStax Biology 2e, 12 Mendel’s Experiments and Heredity</x:v>
      </x:c>
      <x:c r="I604" s="9" t="str">
        <x:v>https://openstax.org/books/biology-2e/pages/12-introduction</x:v>
      </x:c>
      <x:c r="J604" s="9" t="str">
        <x:v>Verified</x:v>
      </x:c>
    </x:row>
    <x:row r="605" ht="42" customHeight="1">
      <x:c r="A605" s="8" t="str">
        <x:v>D3.2-19</x:v>
      </x:c>
      <x:c r="B605" s="8" t="str">
        <x:v>D3.2</x:v>
      </x:c>
      <x:c r="C605" s="9" t="str">
        <x:v>Continuity and change</x:v>
      </x:c>
      <x:c r="D605" s="9" t="str">
        <x:v>Inheritance</x:v>
      </x:c>
      <x:c r="E605" s="9" t="str">
        <x:v>SL/HL</x:v>
      </x:c>
      <x:c r="F605" s="9" t="str">
        <x:v>Genetic linkage</x:v>
      </x:c>
      <x:c r="G605" s="9" t="str">
        <x:v>The tendency of loci on the same chromosome to be inherited together.</x:v>
      </x:c>
      <x:c r="H605" s="9" t="str">
        <x:v>OpenStax Biology 2e, 12 Mendel’s Experiments and Heredity</x:v>
      </x:c>
      <x:c r="I605" s="9" t="str">
        <x:v>https://openstax.org/books/biology-2e/pages/12-introduction</x:v>
      </x:c>
      <x:c r="J605" s="9" t="str">
        <x:v>Verified</x:v>
      </x:c>
    </x:row>
    <x:row r="606" ht="42" customHeight="1">
      <x:c r="A606" s="8" t="str">
        <x:v>D3.2-20</x:v>
      </x:c>
      <x:c r="B606" s="8" t="str">
        <x:v>D3.2</x:v>
      </x:c>
      <x:c r="C606" s="9" t="str">
        <x:v>Continuity and change</x:v>
      </x:c>
      <x:c r="D606" s="9" t="str">
        <x:v>Inheritance</x:v>
      </x:c>
      <x:c r="E606" s="9" t="str">
        <x:v>SL/HL</x:v>
      </x:c>
      <x:c r="F606" s="9" t="str">
        <x:v>Recombination frequency</x:v>
      </x:c>
      <x:c r="G606" s="9" t="str">
        <x:v>The percentage of recombinant offspring, used to estimate distance between linked loci.</x:v>
      </x:c>
      <x:c r="H606" s="9" t="str">
        <x:v>OpenStax Biology 2e, 12 Mendel’s Experiments and Heredity</x:v>
      </x:c>
      <x:c r="I606" s="9" t="str">
        <x:v>https://openstax.org/books/biology-2e/pages/12-introduction</x:v>
      </x:c>
      <x:c r="J606" s="9" t="str">
        <x:v>Verified</x:v>
      </x:c>
    </x:row>
    <x:row r="607" ht="42" customHeight="1">
      <x:c r="A607" s="8" t="str">
        <x:v>D3.3-01</x:v>
      </x:c>
      <x:c r="B607" s="8" t="str">
        <x:v>D3.3</x:v>
      </x:c>
      <x:c r="C607" s="9" t="str">
        <x:v>Continuity and change</x:v>
      </x:c>
      <x:c r="D607" s="9" t="str">
        <x:v>Homeostasis</x:v>
      </x:c>
      <x:c r="E607" s="9" t="str">
        <x:v>SL/HL</x:v>
      </x:c>
      <x:c r="F607" s="9" t="str">
        <x:v>Homeostasis</x:v>
      </x:c>
      <x:c r="G607" s="9" t="str">
        <x:v>Maintenance of internal variables within tolerable limits despite internal or external change.</x:v>
      </x:c>
      <x:c r="H607" s="9" t="str">
        <x:v>OpenStax Biology 2e, 33.3 Homeostasis</x:v>
      </x:c>
      <x:c r="I607" s="9" t="str">
        <x:v>https://openstax.org/books/biology-2e/pages/33-3-homeostasis</x:v>
      </x:c>
      <x:c r="J607" s="9" t="str">
        <x:v>Verified</x:v>
      </x:c>
    </x:row>
    <x:row r="608" ht="42" customHeight="1">
      <x:c r="A608" s="8" t="str">
        <x:v>D3.3-02</x:v>
      </x:c>
      <x:c r="B608" s="8" t="str">
        <x:v>D3.3</x:v>
      </x:c>
      <x:c r="C608" s="9" t="str">
        <x:v>Continuity and change</x:v>
      </x:c>
      <x:c r="D608" s="9" t="str">
        <x:v>Homeostasis</x:v>
      </x:c>
      <x:c r="E608" s="9" t="str">
        <x:v>SL/HL</x:v>
      </x:c>
      <x:c r="F608" s="9" t="str">
        <x:v>Controlled variable</x:v>
      </x:c>
      <x:c r="G608" s="9" t="str">
        <x:v>A physiological quantity monitored and regulated by a homeostatic system.</x:v>
      </x:c>
      <x:c r="H608" s="9" t="str">
        <x:v>OpenStax Biology 2e, 33.3 Homeostasis</x:v>
      </x:c>
      <x:c r="I608" s="9" t="str">
        <x:v>https://openstax.org/books/biology-2e/pages/33-3-homeostasis</x:v>
      </x:c>
      <x:c r="J608" s="9" t="str">
        <x:v>Verified</x:v>
      </x:c>
    </x:row>
    <x:row r="609" ht="42" customHeight="1">
      <x:c r="A609" s="8" t="str">
        <x:v>D3.3-03</x:v>
      </x:c>
      <x:c r="B609" s="8" t="str">
        <x:v>D3.3</x:v>
      </x:c>
      <x:c r="C609" s="9" t="str">
        <x:v>Continuity and change</x:v>
      </x:c>
      <x:c r="D609" s="9" t="str">
        <x:v>Homeostasis</x:v>
      </x:c>
      <x:c r="E609" s="9" t="str">
        <x:v>SL/HL</x:v>
      </x:c>
      <x:c r="F609" s="9" t="str">
        <x:v>Set point</x:v>
      </x:c>
      <x:c r="G609" s="9" t="str">
        <x:v>The target value or range around which a regulated variable is maintained.</x:v>
      </x:c>
      <x:c r="H609" s="9" t="str">
        <x:v>OpenStax Biology 2e, 33.3 Homeostasis</x:v>
      </x:c>
      <x:c r="I609" s="9" t="str">
        <x:v>https://openstax.org/books/biology-2e/pages/33-3-homeostasis</x:v>
      </x:c>
      <x:c r="J609" s="9" t="str">
        <x:v>Verified</x:v>
      </x:c>
    </x:row>
    <x:row r="610" ht="42" customHeight="1">
      <x:c r="A610" s="8" t="str">
        <x:v>D3.3-04</x:v>
      </x:c>
      <x:c r="B610" s="8" t="str">
        <x:v>D3.3</x:v>
      </x:c>
      <x:c r="C610" s="9" t="str">
        <x:v>Continuity and change</x:v>
      </x:c>
      <x:c r="D610" s="9" t="str">
        <x:v>Homeostasis</x:v>
      </x:c>
      <x:c r="E610" s="9" t="str">
        <x:v>SL/HL</x:v>
      </x:c>
      <x:c r="F610" s="9" t="str">
        <x:v>Negative feedback</x:v>
      </x:c>
      <x:c r="G610" s="9" t="str">
        <x:v>Control in which a deviation triggers responses that oppose the original change.</x:v>
      </x:c>
      <x:c r="H610" s="9" t="str">
        <x:v>OpenStax Biology 2e, 33.3 Homeostasis</x:v>
      </x:c>
      <x:c r="I610" s="9" t="str">
        <x:v>https://openstax.org/books/biology-2e/pages/33-3-homeostasis</x:v>
      </x:c>
      <x:c r="J610" s="9" t="str">
        <x:v>Verified</x:v>
      </x:c>
    </x:row>
    <x:row r="611" ht="42" customHeight="1">
      <x:c r="A611" s="8" t="str">
        <x:v>D3.3-05</x:v>
      </x:c>
      <x:c r="B611" s="8" t="str">
        <x:v>D3.3</x:v>
      </x:c>
      <x:c r="C611" s="9" t="str">
        <x:v>Continuity and change</x:v>
      </x:c>
      <x:c r="D611" s="9" t="str">
        <x:v>Homeostasis</x:v>
      </x:c>
      <x:c r="E611" s="9" t="str">
        <x:v>SL/HL</x:v>
      </x:c>
      <x:c r="F611" s="9" t="str">
        <x:v>Positive feedback</x:v>
      </x:c>
      <x:c r="G611" s="9" t="str">
        <x:v>Control in which a change triggers responses that amplify that change until an external endpoint stops the loop.</x:v>
      </x:c>
      <x:c r="H611" s="9" t="str">
        <x:v>OpenStax Biology 2e, 33.3 Homeostasis</x:v>
      </x:c>
      <x:c r="I611" s="9" t="str">
        <x:v>https://openstax.org/books/biology-2e/pages/33-3-homeostasis</x:v>
      </x:c>
      <x:c r="J611" s="9" t="str">
        <x:v>Verified</x:v>
      </x:c>
    </x:row>
    <x:row r="612" ht="42" customHeight="1">
      <x:c r="A612" s="8" t="str">
        <x:v>D3.3-06</x:v>
      </x:c>
      <x:c r="B612" s="8" t="str">
        <x:v>D3.3</x:v>
      </x:c>
      <x:c r="C612" s="9" t="str">
        <x:v>Continuity and change</x:v>
      </x:c>
      <x:c r="D612" s="9" t="str">
        <x:v>Homeostasis</x:v>
      </x:c>
      <x:c r="E612" s="9" t="str">
        <x:v>SL/HL</x:v>
      </x:c>
      <x:c r="F612" s="9" t="str">
        <x:v>Sensor</x:v>
      </x:c>
      <x:c r="G612" s="9" t="str">
        <x:v>A component that detects a change in a regulated internal or external condition.</x:v>
      </x:c>
      <x:c r="H612" s="9" t="str">
        <x:v>OpenStax Biology 2e, 33.3 Homeostasis</x:v>
      </x:c>
      <x:c r="I612" s="9" t="str">
        <x:v>https://openstax.org/books/biology-2e/pages/33-3-homeostasis</x:v>
      </x:c>
      <x:c r="J612" s="9" t="str">
        <x:v>Verified</x:v>
      </x:c>
    </x:row>
    <x:row r="613" ht="42" customHeight="1">
      <x:c r="A613" s="8" t="str">
        <x:v>D3.3-07</x:v>
      </x:c>
      <x:c r="B613" s="8" t="str">
        <x:v>D3.3</x:v>
      </x:c>
      <x:c r="C613" s="9" t="str">
        <x:v>Continuity and change</x:v>
      </x:c>
      <x:c r="D613" s="9" t="str">
        <x:v>Homeostasis</x:v>
      </x:c>
      <x:c r="E613" s="9" t="str">
        <x:v>SL/HL</x:v>
      </x:c>
      <x:c r="F613" s="9" t="str">
        <x:v>Integrating center</x:v>
      </x:c>
      <x:c r="G613" s="9" t="str">
        <x:v>A control component that compares sensory information with a target and coordinates a response.</x:v>
      </x:c>
      <x:c r="H613" s="9" t="str">
        <x:v>OpenStax Biology 2e, 33.3 Homeostasis</x:v>
      </x:c>
      <x:c r="I613" s="9" t="str">
        <x:v>https://openstax.org/books/biology-2e/pages/33-3-homeostasis</x:v>
      </x:c>
      <x:c r="J613" s="9" t="str">
        <x:v>Verified</x:v>
      </x:c>
    </x:row>
    <x:row r="614" ht="42" customHeight="1">
      <x:c r="A614" s="8" t="str">
        <x:v>D3.3-08</x:v>
      </x:c>
      <x:c r="B614" s="8" t="str">
        <x:v>D3.3</x:v>
      </x:c>
      <x:c r="C614" s="9" t="str">
        <x:v>Continuity and change</x:v>
      </x:c>
      <x:c r="D614" s="9" t="str">
        <x:v>Homeostasis</x:v>
      </x:c>
      <x:c r="E614" s="9" t="str">
        <x:v>SL/HL</x:v>
      </x:c>
      <x:c r="F614" s="9" t="str">
        <x:v>Effector</x:v>
      </x:c>
      <x:c r="G614" s="9" t="str">
        <x:v>A tissue or organ that carries out a response directed by a control system.</x:v>
      </x:c>
      <x:c r="H614" s="9" t="str">
        <x:v>OpenStax Biology 2e, 33.3 Homeostasis</x:v>
      </x:c>
      <x:c r="I614" s="9" t="str">
        <x:v>https://openstax.org/books/biology-2e/pages/33-3-homeostasis</x:v>
      </x:c>
      <x:c r="J614" s="9" t="str">
        <x:v>Verified</x:v>
      </x:c>
    </x:row>
    <x:row r="615" ht="42" customHeight="1">
      <x:c r="A615" s="8" t="str">
        <x:v>D3.3-09</x:v>
      </x:c>
      <x:c r="B615" s="8" t="str">
        <x:v>D3.3</x:v>
      </x:c>
      <x:c r="C615" s="9" t="str">
        <x:v>Continuity and change</x:v>
      </x:c>
      <x:c r="D615" s="9" t="str">
        <x:v>Homeostasis</x:v>
      </x:c>
      <x:c r="E615" s="9" t="str">
        <x:v>SL/HL</x:v>
      </x:c>
      <x:c r="F615" s="9" t="str">
        <x:v>Thermoreceptor</x:v>
      </x:c>
      <x:c r="G615" s="9" t="str">
        <x:v>A sensory receptor that responds to temperature change.</x:v>
      </x:c>
      <x:c r="H615" s="9" t="str">
        <x:v>OpenStax Biology 2e, 33.3 Homeostasis</x:v>
      </x:c>
      <x:c r="I615" s="9" t="str">
        <x:v>https://openstax.org/books/biology-2e/pages/33-3-homeostasis</x:v>
      </x:c>
      <x:c r="J615" s="9" t="str">
        <x:v>Verified</x:v>
      </x:c>
    </x:row>
    <x:row r="616" ht="42" customHeight="1">
      <x:c r="A616" s="8" t="str">
        <x:v>D3.3-10</x:v>
      </x:c>
      <x:c r="B616" s="8" t="str">
        <x:v>D3.3</x:v>
      </x:c>
      <x:c r="C616" s="9" t="str">
        <x:v>Continuity and change</x:v>
      </x:c>
      <x:c r="D616" s="9" t="str">
        <x:v>Homeostasis</x:v>
      </x:c>
      <x:c r="E616" s="9" t="str">
        <x:v>SL/HL</x:v>
      </x:c>
      <x:c r="F616" s="9" t="str">
        <x:v>Vasodilation</x:v>
      </x:c>
      <x:c r="G616" s="9" t="str">
        <x:v>Widening of blood vessels caused by relaxation of smooth muscle in their walls.</x:v>
      </x:c>
      <x:c r="H616" s="9" t="str">
        <x:v>OpenStax Biology 2e, 33.3 Homeostasis</x:v>
      </x:c>
      <x:c r="I616" s="9" t="str">
        <x:v>https://openstax.org/books/biology-2e/pages/33-3-homeostasis</x:v>
      </x:c>
      <x:c r="J616" s="9" t="str">
        <x:v>Verified</x:v>
      </x:c>
    </x:row>
    <x:row r="617" ht="42" customHeight="1">
      <x:c r="A617" s="8" t="str">
        <x:v>D3.3-11</x:v>
      </x:c>
      <x:c r="B617" s="8" t="str">
        <x:v>D3.3</x:v>
      </x:c>
      <x:c r="C617" s="9" t="str">
        <x:v>Continuity and change</x:v>
      </x:c>
      <x:c r="D617" s="9" t="str">
        <x:v>Homeostasis</x:v>
      </x:c>
      <x:c r="E617" s="9" t="str">
        <x:v>SL/HL</x:v>
      </x:c>
      <x:c r="F617" s="9" t="str">
        <x:v>Vasoconstriction</x:v>
      </x:c>
      <x:c r="G617" s="9" t="str">
        <x:v>Narrowing of blood vessels caused by contraction of smooth muscle in their walls.</x:v>
      </x:c>
      <x:c r="H617" s="9" t="str">
        <x:v>OpenStax Biology 2e, 33.3 Homeostasis</x:v>
      </x:c>
      <x:c r="I617" s="9" t="str">
        <x:v>https://openstax.org/books/biology-2e/pages/33-3-homeostasis</x:v>
      </x:c>
      <x:c r="J617" s="9" t="str">
        <x:v>Verified</x:v>
      </x:c>
    </x:row>
    <x:row r="618" ht="42" customHeight="1">
      <x:c r="A618" s="8" t="str">
        <x:v>D3.3-12</x:v>
      </x:c>
      <x:c r="B618" s="8" t="str">
        <x:v>D3.3</x:v>
      </x:c>
      <x:c r="C618" s="9" t="str">
        <x:v>Continuity and change</x:v>
      </x:c>
      <x:c r="D618" s="9" t="str">
        <x:v>Homeostasis</x:v>
      </x:c>
      <x:c r="E618" s="9" t="str">
        <x:v>SL/HL</x:v>
      </x:c>
      <x:c r="F618" s="9" t="str">
        <x:v>Shivering</x:v>
      </x:c>
      <x:c r="G618" s="9" t="str">
        <x:v>Rapid involuntary skeletal-muscle contractions that increase metabolic heat production.</x:v>
      </x:c>
      <x:c r="H618" s="9" t="str">
        <x:v>OpenStax Biology 2e, 33.3 Homeostasis</x:v>
      </x:c>
      <x:c r="I618" s="9" t="str">
        <x:v>https://openstax.org/books/biology-2e/pages/33-3-homeostasis</x:v>
      </x:c>
      <x:c r="J618" s="9" t="str">
        <x:v>Verified</x:v>
      </x:c>
    </x:row>
    <x:row r="619" ht="42" customHeight="1">
      <x:c r="A619" s="8" t="str">
        <x:v>D3.3-13</x:v>
      </x:c>
      <x:c r="B619" s="8" t="str">
        <x:v>D3.3</x:v>
      </x:c>
      <x:c r="C619" s="9" t="str">
        <x:v>Continuity and change</x:v>
      </x:c>
      <x:c r="D619" s="9" t="str">
        <x:v>Homeostasis</x:v>
      </x:c>
      <x:c r="E619" s="9" t="str">
        <x:v>SL/HL</x:v>
      </x:c>
      <x:c r="F619" s="9" t="str">
        <x:v>Type 1 diabetes</x:v>
      </x:c>
      <x:c r="G619" s="9" t="str">
        <x:v>A disorder caused by autoimmune destruction of pancreatic beta cells, producing severe insulin deficiency.</x:v>
      </x:c>
      <x:c r="H619" s="9" t="str">
        <x:v>OpenStax Biology 2e, 33.3 Homeostasis</x:v>
      </x:c>
      <x:c r="I619" s="9" t="str">
        <x:v>https://openstax.org/books/biology-2e/pages/33-3-homeostasis</x:v>
      </x:c>
      <x:c r="J619" s="9" t="str">
        <x:v>Verified</x:v>
      </x:c>
    </x:row>
    <x:row r="620" ht="42" customHeight="1">
      <x:c r="A620" s="8" t="str">
        <x:v>D3.3-14</x:v>
      </x:c>
      <x:c r="B620" s="8" t="str">
        <x:v>D3.3</x:v>
      </x:c>
      <x:c r="C620" s="9" t="str">
        <x:v>Continuity and change</x:v>
      </x:c>
      <x:c r="D620" s="9" t="str">
        <x:v>Homeostasis</x:v>
      </x:c>
      <x:c r="E620" s="9" t="str">
        <x:v>SL/HL</x:v>
      </x:c>
      <x:c r="F620" s="9" t="str">
        <x:v>Type 2 diabetes</x:v>
      </x:c>
      <x:c r="G620" s="9" t="str">
        <x:v>A disorder characterized by insulin resistance with progressive inability to maintain normal blood glucose.</x:v>
      </x:c>
      <x:c r="H620" s="9" t="str">
        <x:v>OpenStax Biology 2e, 33.3 Homeostasis</x:v>
      </x:c>
      <x:c r="I620" s="9" t="str">
        <x:v>https://openstax.org/books/biology-2e/pages/33-3-homeostasis</x:v>
      </x:c>
      <x:c r="J620" s="9" t="str">
        <x:v>Verified</x:v>
      </x:c>
    </x:row>
    <x:row r="621" ht="42" customHeight="1">
      <x:c r="A621" s="8" t="str">
        <x:v>D3.3-15</x:v>
      </x:c>
      <x:c r="B621" s="8" t="str">
        <x:v>D3.3</x:v>
      </x:c>
      <x:c r="C621" s="9" t="str">
        <x:v>Continuity and change</x:v>
      </x:c>
      <x:c r="D621" s="9" t="str">
        <x:v>Homeostasis</x:v>
      </x:c>
      <x:c r="E621" s="9" t="str">
        <x:v>SL/HL</x:v>
      </x:c>
      <x:c r="F621" s="9" t="str">
        <x:v>Circadian rhythm</x:v>
      </x:c>
      <x:c r="G621" s="9" t="str">
        <x:v>An internally generated biological cycle of about 24 hours that can be synchronized by environmental cues.</x:v>
      </x:c>
      <x:c r="H621" s="9" t="str">
        <x:v>OpenStax Biology 2e, 33.3 Homeostasis</x:v>
      </x:c>
      <x:c r="I621" s="9" t="str">
        <x:v>https://openstax.org/books/biology-2e/pages/33-3-homeostasis</x:v>
      </x:c>
      <x:c r="J621" s="9" t="str">
        <x:v>Verified</x:v>
      </x:c>
    </x:row>
    <x:row r="622" ht="42" customHeight="1">
      <x:c r="A622" s="8" t="str">
        <x:v>D4.1-01</x:v>
      </x:c>
      <x:c r="B622" s="8" t="str">
        <x:v>D4.1</x:v>
      </x:c>
      <x:c r="C622" s="9" t="str">
        <x:v>Continuity and change</x:v>
      </x:c>
      <x:c r="D622" s="9" t="str">
        <x:v>Natural selection</x:v>
      </x:c>
      <x:c r="E622" s="9" t="str">
        <x:v>SL/HL</x:v>
      </x:c>
      <x:c r="F622" s="9" t="str">
        <x:v>Natural selection</x:v>
      </x:c>
      <x:c r="G622" s="9" t="str">
        <x:v>Non-random differential survival and reproduction caused by heritable variation among individuals.</x:v>
      </x:c>
      <x:c r="H622" s="9" t="str">
        <x:v>OpenStax Biology 2e, 19.3 Adaptive Evolution</x:v>
      </x:c>
      <x:c r="I622" s="9" t="str">
        <x:v>https://openstax.org/books/biology-2e/pages/19-3-adaptive-evolution</x:v>
      </x:c>
      <x:c r="J622" s="9" t="str">
        <x:v>Verified</x:v>
      </x:c>
    </x:row>
    <x:row r="623" ht="42" customHeight="1">
      <x:c r="A623" s="8" t="str">
        <x:v>D4.1-02</x:v>
      </x:c>
      <x:c r="B623" s="8" t="str">
        <x:v>D4.1</x:v>
      </x:c>
      <x:c r="C623" s="9" t="str">
        <x:v>Continuity and change</x:v>
      </x:c>
      <x:c r="D623" s="9" t="str">
        <x:v>Natural selection</x:v>
      </x:c>
      <x:c r="E623" s="9" t="str">
        <x:v>SL/HL</x:v>
      </x:c>
      <x:c r="F623" s="9" t="str">
        <x:v>Variation</x:v>
      </x:c>
      <x:c r="G623" s="9" t="str">
        <x:v>Differences in characteristics among individuals of the same population or species.</x:v>
      </x:c>
      <x:c r="H623" s="9" t="str">
        <x:v>OpenStax Biology 2e, 19.3 Adaptive Evolution</x:v>
      </x:c>
      <x:c r="I623" s="9" t="str">
        <x:v>https://openstax.org/books/biology-2e/pages/19-3-adaptive-evolution</x:v>
      </x:c>
      <x:c r="J623" s="9" t="str">
        <x:v>Verified</x:v>
      </x:c>
    </x:row>
    <x:row r="624" ht="42" customHeight="1">
      <x:c r="A624" s="8" t="str">
        <x:v>D4.1-03</x:v>
      </x:c>
      <x:c r="B624" s="8" t="str">
        <x:v>D4.1</x:v>
      </x:c>
      <x:c r="C624" s="9" t="str">
        <x:v>Continuity and change</x:v>
      </x:c>
      <x:c r="D624" s="9" t="str">
        <x:v>Natural selection</x:v>
      </x:c>
      <x:c r="E624" s="9" t="str">
        <x:v>SL/HL</x:v>
      </x:c>
      <x:c r="F624" s="9" t="str">
        <x:v>Heritable variation</x:v>
      </x:c>
      <x:c r="G624" s="9" t="str">
        <x:v>Differences among individuals that can be transmitted genetically to offspring.</x:v>
      </x:c>
      <x:c r="H624" s="9" t="str">
        <x:v>OpenStax Biology 2e, 19.3 Adaptive Evolution</x:v>
      </x:c>
      <x:c r="I624" s="9" t="str">
        <x:v>https://openstax.org/books/biology-2e/pages/19-3-adaptive-evolution</x:v>
      </x:c>
      <x:c r="J624" s="9" t="str">
        <x:v>Verified</x:v>
      </x:c>
    </x:row>
    <x:row r="625" ht="42" customHeight="1">
      <x:c r="A625" s="8" t="str">
        <x:v>D4.1-04</x:v>
      </x:c>
      <x:c r="B625" s="8" t="str">
        <x:v>D4.1</x:v>
      </x:c>
      <x:c r="C625" s="9" t="str">
        <x:v>Continuity and change</x:v>
      </x:c>
      <x:c r="D625" s="9" t="str">
        <x:v>Natural selection</x:v>
      </x:c>
      <x:c r="E625" s="9" t="str">
        <x:v>SL/HL</x:v>
      </x:c>
      <x:c r="F625" s="9" t="str">
        <x:v>Selection pressure</x:v>
      </x:c>
      <x:c r="G625" s="9" t="str">
        <x:v>An environmental factor that causes differences in survival or reproductive success among phenotypes.</x:v>
      </x:c>
      <x:c r="H625" s="9" t="str">
        <x:v>OpenStax Biology 2e, 19.3 Adaptive Evolution</x:v>
      </x:c>
      <x:c r="I625" s="9" t="str">
        <x:v>https://openstax.org/books/biology-2e/pages/19-3-adaptive-evolution</x:v>
      </x:c>
      <x:c r="J625" s="9" t="str">
        <x:v>Verified</x:v>
      </x:c>
    </x:row>
    <x:row r="626" ht="42" customHeight="1">
      <x:c r="A626" s="8" t="str">
        <x:v>D4.1-05</x:v>
      </x:c>
      <x:c r="B626" s="8" t="str">
        <x:v>D4.1</x:v>
      </x:c>
      <x:c r="C626" s="9" t="str">
        <x:v>Continuity and change</x:v>
      </x:c>
      <x:c r="D626" s="9" t="str">
        <x:v>Natural selection</x:v>
      </x:c>
      <x:c r="E626" s="9" t="str">
        <x:v>SL/HL</x:v>
      </x:c>
      <x:c r="F626" s="9" t="str">
        <x:v>Evolutionary fitness</x:v>
      </x:c>
      <x:c r="G626" s="9" t="str">
        <x:v>An individual’s relative contribution of viable, fertile offspring to the next generation.</x:v>
      </x:c>
      <x:c r="H626" s="9" t="str">
        <x:v>OpenStax Biology 2e, 19.3 Adaptive Evolution</x:v>
      </x:c>
      <x:c r="I626" s="9" t="str">
        <x:v>https://openstax.org/books/biology-2e/pages/19-3-adaptive-evolution</x:v>
      </x:c>
      <x:c r="J626" s="9" t="str">
        <x:v>Verified</x:v>
      </x:c>
    </x:row>
    <x:row r="627" ht="42" customHeight="1">
      <x:c r="A627" s="8" t="str">
        <x:v>D4.1-06</x:v>
      </x:c>
      <x:c r="B627" s="8" t="str">
        <x:v>D4.1</x:v>
      </x:c>
      <x:c r="C627" s="9" t="str">
        <x:v>Continuity and change</x:v>
      </x:c>
      <x:c r="D627" s="9" t="str">
        <x:v>Natural selection</x:v>
      </x:c>
      <x:c r="E627" s="9" t="str">
        <x:v>SL/HL</x:v>
      </x:c>
      <x:c r="F627" s="9" t="str">
        <x:v>Differential reproduction</x:v>
      </x:c>
      <x:c r="G627" s="9" t="str">
        <x:v>Unequal production of surviving offspring by individuals with different inherited characteristics.</x:v>
      </x:c>
      <x:c r="H627" s="9" t="str">
        <x:v>OpenStax Biology 2e, 19.3 Adaptive Evolution</x:v>
      </x:c>
      <x:c r="I627" s="9" t="str">
        <x:v>https://openstax.org/books/biology-2e/pages/19-3-adaptive-evolution</x:v>
      </x:c>
      <x:c r="J627" s="9" t="str">
        <x:v>Verified</x:v>
      </x:c>
    </x:row>
    <x:row r="628" ht="42" customHeight="1">
      <x:c r="A628" s="8" t="str">
        <x:v>D4.1-07</x:v>
      </x:c>
      <x:c r="B628" s="8" t="str">
        <x:v>D4.1</x:v>
      </x:c>
      <x:c r="C628" s="9" t="str">
        <x:v>Continuity and change</x:v>
      </x:c>
      <x:c r="D628" s="9" t="str">
        <x:v>Natural selection</x:v>
      </x:c>
      <x:c r="E628" s="9" t="str">
        <x:v>SL/HL</x:v>
      </x:c>
      <x:c r="F628" s="9" t="str">
        <x:v>Directional selection</x:v>
      </x:c>
      <x:c r="G628" s="9" t="str">
        <x:v>Selection favoring phenotypes toward one end of a trait distribution.</x:v>
      </x:c>
      <x:c r="H628" s="9" t="str">
        <x:v>OpenStax Biology 2e, 19.3 Adaptive Evolution</x:v>
      </x:c>
      <x:c r="I628" s="9" t="str">
        <x:v>https://openstax.org/books/biology-2e/pages/19-3-adaptive-evolution</x:v>
      </x:c>
      <x:c r="J628" s="9" t="str">
        <x:v>Verified</x:v>
      </x:c>
    </x:row>
    <x:row r="629" ht="42" customHeight="1">
      <x:c r="A629" s="8" t="str">
        <x:v>D4.1-08</x:v>
      </x:c>
      <x:c r="B629" s="8" t="str">
        <x:v>D4.1</x:v>
      </x:c>
      <x:c r="C629" s="9" t="str">
        <x:v>Continuity and change</x:v>
      </x:c>
      <x:c r="D629" s="9" t="str">
        <x:v>Natural selection</x:v>
      </x:c>
      <x:c r="E629" s="9" t="str">
        <x:v>SL/HL</x:v>
      </x:c>
      <x:c r="F629" s="9" t="str">
        <x:v>Stabilizing selection</x:v>
      </x:c>
      <x:c r="G629" s="9" t="str">
        <x:v>Selection favoring intermediate phenotypes and acting against both extremes.</x:v>
      </x:c>
      <x:c r="H629" s="9" t="str">
        <x:v>OpenStax Biology 2e, 19.3 Adaptive Evolution</x:v>
      </x:c>
      <x:c r="I629" s="9" t="str">
        <x:v>https://openstax.org/books/biology-2e/pages/19-3-adaptive-evolution</x:v>
      </x:c>
      <x:c r="J629" s="9" t="str">
        <x:v>Verified</x:v>
      </x:c>
    </x:row>
    <x:row r="630" ht="42" customHeight="1">
      <x:c r="A630" s="8" t="str">
        <x:v>D4.1-09</x:v>
      </x:c>
      <x:c r="B630" s="8" t="str">
        <x:v>D4.1</x:v>
      </x:c>
      <x:c r="C630" s="9" t="str">
        <x:v>Continuity and change</x:v>
      </x:c>
      <x:c r="D630" s="9" t="str">
        <x:v>Natural selection</x:v>
      </x:c>
      <x:c r="E630" s="9" t="str">
        <x:v>SL/HL</x:v>
      </x:c>
      <x:c r="F630" s="9" t="str">
        <x:v>Disruptive selection</x:v>
      </x:c>
      <x:c r="G630" s="9" t="str">
        <x:v>Selection favoring phenotypes at both extremes over intermediate forms.</x:v>
      </x:c>
      <x:c r="H630" s="9" t="str">
        <x:v>OpenStax Biology 2e, 19.3 Adaptive Evolution</x:v>
      </x:c>
      <x:c r="I630" s="9" t="str">
        <x:v>https://openstax.org/books/biology-2e/pages/19-3-adaptive-evolution</x:v>
      </x:c>
      <x:c r="J630" s="9" t="str">
        <x:v>Verified</x:v>
      </x:c>
    </x:row>
    <x:row r="631" ht="42" customHeight="1">
      <x:c r="A631" s="8" t="str">
        <x:v>D4.1-10</x:v>
      </x:c>
      <x:c r="B631" s="8" t="str">
        <x:v>D4.1</x:v>
      </x:c>
      <x:c r="C631" s="9" t="str">
        <x:v>Continuity and change</x:v>
      </x:c>
      <x:c r="D631" s="9" t="str">
        <x:v>Natural selection</x:v>
      </x:c>
      <x:c r="E631" s="9" t="str">
        <x:v>SL/HL</x:v>
      </x:c>
      <x:c r="F631" s="9" t="str">
        <x:v>Sexual selection</x:v>
      </x:c>
      <x:c r="G631" s="9" t="str">
        <x:v>Selection arising from differences in success at obtaining mates or achieving fertilization.</x:v>
      </x:c>
      <x:c r="H631" s="9" t="str">
        <x:v>OpenStax Biology 2e, 19.3 Adaptive Evolution</x:v>
      </x:c>
      <x:c r="I631" s="9" t="str">
        <x:v>https://openstax.org/books/biology-2e/pages/19-3-adaptive-evolution</x:v>
      </x:c>
      <x:c r="J631" s="9" t="str">
        <x:v>Verified</x:v>
      </x:c>
    </x:row>
    <x:row r="632" ht="42" customHeight="1">
      <x:c r="A632" s="8" t="str">
        <x:v>D4.1-11</x:v>
      </x:c>
      <x:c r="B632" s="8" t="str">
        <x:v>D4.1</x:v>
      </x:c>
      <x:c r="C632" s="9" t="str">
        <x:v>Continuity and change</x:v>
      </x:c>
      <x:c r="D632" s="9" t="str">
        <x:v>Natural selection</x:v>
      </x:c>
      <x:c r="E632" s="9" t="str">
        <x:v>SL/HL</x:v>
      </x:c>
      <x:c r="F632" s="9" t="str">
        <x:v>Artificial selection</x:v>
      </x:c>
      <x:c r="G632" s="9" t="str">
        <x:v>Human-directed breeding that changes trait frequencies by choosing which organisms reproduce.</x:v>
      </x:c>
      <x:c r="H632" s="9" t="str">
        <x:v>OpenStax Biology 2e, 19.3 Adaptive Evolution</x:v>
      </x:c>
      <x:c r="I632" s="9" t="str">
        <x:v>https://openstax.org/books/biology-2e/pages/19-3-adaptive-evolution</x:v>
      </x:c>
      <x:c r="J632" s="9" t="str">
        <x:v>Verified</x:v>
      </x:c>
    </x:row>
    <x:row r="633" ht="42" customHeight="1">
      <x:c r="A633" s="8" t="str">
        <x:v>D4.1-12</x:v>
      </x:c>
      <x:c r="B633" s="8" t="str">
        <x:v>D4.1</x:v>
      </x:c>
      <x:c r="C633" s="9" t="str">
        <x:v>Continuity and change</x:v>
      </x:c>
      <x:c r="D633" s="9" t="str">
        <x:v>Natural selection</x:v>
      </x:c>
      <x:c r="E633" s="9" t="str">
        <x:v>SL/HL</x:v>
      </x:c>
      <x:c r="F633" s="9" t="str">
        <x:v>Genetic drift</x:v>
      </x:c>
      <x:c r="G633" s="9" t="str">
        <x:v>Random change in allele frequencies, with stronger effects in small populations.</x:v>
      </x:c>
      <x:c r="H633" s="9" t="str">
        <x:v>OpenStax Biology 2e, 19.3 Adaptive Evolution</x:v>
      </x:c>
      <x:c r="I633" s="9" t="str">
        <x:v>https://openstax.org/books/biology-2e/pages/19-3-adaptive-evolution</x:v>
      </x:c>
      <x:c r="J633" s="9" t="str">
        <x:v>Verified</x:v>
      </x:c>
    </x:row>
    <x:row r="634" ht="42" customHeight="1">
      <x:c r="A634" s="8" t="str">
        <x:v>D4.1-13</x:v>
      </x:c>
      <x:c r="B634" s="8" t="str">
        <x:v>D4.1</x:v>
      </x:c>
      <x:c r="C634" s="9" t="str">
        <x:v>Continuity and change</x:v>
      </x:c>
      <x:c r="D634" s="9" t="str">
        <x:v>Natural selection</x:v>
      </x:c>
      <x:c r="E634" s="9" t="str">
        <x:v>SL/HL</x:v>
      </x:c>
      <x:c r="F634" s="9" t="str">
        <x:v>Founder effect</x:v>
      </x:c>
      <x:c r="G634" s="9" t="str">
        <x:v>Genetic drift when a new population begins from a small, non-representative sample of a source population.</x:v>
      </x:c>
      <x:c r="H634" s="9" t="str">
        <x:v>OpenStax Biology 2e, 19.3 Adaptive Evolution</x:v>
      </x:c>
      <x:c r="I634" s="9" t="str">
        <x:v>https://openstax.org/books/biology-2e/pages/19-3-adaptive-evolution</x:v>
      </x:c>
      <x:c r="J634" s="9" t="str">
        <x:v>Verified</x:v>
      </x:c>
    </x:row>
    <x:row r="635" ht="42" customHeight="1">
      <x:c r="A635" s="8" t="str">
        <x:v>D4.1-14</x:v>
      </x:c>
      <x:c r="B635" s="8" t="str">
        <x:v>D4.1</x:v>
      </x:c>
      <x:c r="C635" s="9" t="str">
        <x:v>Continuity and change</x:v>
      </x:c>
      <x:c r="D635" s="9" t="str">
        <x:v>Natural selection</x:v>
      </x:c>
      <x:c r="E635" s="9" t="str">
        <x:v>SL/HL</x:v>
      </x:c>
      <x:c r="F635" s="9" t="str">
        <x:v>Population bottleneck</x:v>
      </x:c>
      <x:c r="G635" s="9" t="str">
        <x:v>Sharp population reduction that randomly removes alleles and changes genetic variation.</x:v>
      </x:c>
      <x:c r="H635" s="9" t="str">
        <x:v>OpenStax Biology 2e, 19.3 Adaptive Evolution</x:v>
      </x:c>
      <x:c r="I635" s="9" t="str">
        <x:v>https://openstax.org/books/biology-2e/pages/19-3-adaptive-evolution</x:v>
      </x:c>
      <x:c r="J635" s="9" t="str">
        <x:v>Verified</x:v>
      </x:c>
    </x:row>
    <x:row r="636" ht="42" customHeight="1">
      <x:c r="A636" s="8" t="str">
        <x:v>D4.1-15</x:v>
      </x:c>
      <x:c r="B636" s="8" t="str">
        <x:v>D4.1</x:v>
      </x:c>
      <x:c r="C636" s="9" t="str">
        <x:v>Continuity and change</x:v>
      </x:c>
      <x:c r="D636" s="9" t="str">
        <x:v>Natural selection</x:v>
      </x:c>
      <x:c r="E636" s="9" t="str">
        <x:v>SL/HL</x:v>
      </x:c>
      <x:c r="F636" s="9" t="str">
        <x:v>Gene flow</x:v>
      </x:c>
      <x:c r="G636" s="9" t="str">
        <x:v>Transfer of alleles between populations through movement and reproduction of individuals or gametes.</x:v>
      </x:c>
      <x:c r="H636" s="9" t="str">
        <x:v>OpenStax Biology 2e, 19.3 Adaptive Evolution</x:v>
      </x:c>
      <x:c r="I636" s="9" t="str">
        <x:v>https://openstax.org/books/biology-2e/pages/19-3-adaptive-evolution</x:v>
      </x:c>
      <x:c r="J636" s="9" t="str">
        <x:v>Verified</x:v>
      </x:c>
    </x:row>
    <x:row r="637" ht="42" customHeight="1">
      <x:c r="A637" s="8" t="str">
        <x:v>D4.1-16</x:v>
      </x:c>
      <x:c r="B637" s="8" t="str">
        <x:v>D4.1</x:v>
      </x:c>
      <x:c r="C637" s="9" t="str">
        <x:v>Continuity and change</x:v>
      </x:c>
      <x:c r="D637" s="9" t="str">
        <x:v>Natural selection</x:v>
      </x:c>
      <x:c r="E637" s="9" t="str">
        <x:v>SL/HL</x:v>
      </x:c>
      <x:c r="F637" s="9" t="str">
        <x:v>Hardy–Weinberg equilibrium</x:v>
      </x:c>
      <x:c r="G637" s="9" t="str">
        <x:v>A null model in which allele and genotype frequencies remain constant without evolutionary forces.</x:v>
      </x:c>
      <x:c r="H637" s="9" t="str">
        <x:v>OpenStax Biology 2e, 19.3 Adaptive Evolution</x:v>
      </x:c>
      <x:c r="I637" s="9" t="str">
        <x:v>https://openstax.org/books/biology-2e/pages/19-3-adaptive-evolution</x:v>
      </x:c>
      <x:c r="J637" s="9" t="str">
        <x:v>Verified</x:v>
      </x:c>
    </x:row>
    <x:row r="638" ht="42" customHeight="1">
      <x:c r="A638" s="8" t="str">
        <x:v>D4.1-17</x:v>
      </x:c>
      <x:c r="B638" s="8" t="str">
        <x:v>D4.1</x:v>
      </x:c>
      <x:c r="C638" s="9" t="str">
        <x:v>Continuity and change</x:v>
      </x:c>
      <x:c r="D638" s="9" t="str">
        <x:v>Natural selection</x:v>
      </x:c>
      <x:c r="E638" s="9" t="str">
        <x:v>SL/HL</x:v>
      </x:c>
      <x:c r="F638" s="9" t="str">
        <x:v>Antibiotic resistance</x:v>
      </x:c>
      <x:c r="G638" s="9" t="str">
        <x:v>The inherited ability of bacteria to survive or reproduce at an antibiotic concentration that inhibits susceptible cells.</x:v>
      </x:c>
      <x:c r="H638" s="9" t="str">
        <x:v>OpenStax Biology 2e, 19.3 Adaptive Evolution</x:v>
      </x:c>
      <x:c r="I638" s="9" t="str">
        <x:v>https://openstax.org/books/biology-2e/pages/19-3-adaptive-evolution</x:v>
      </x:c>
      <x:c r="J638" s="9" t="str">
        <x:v>Verified</x:v>
      </x:c>
    </x:row>
    <x:row r="639" ht="42" customHeight="1">
      <x:c r="A639" s="8" t="str">
        <x:v>D4.2-01</x:v>
      </x:c>
      <x:c r="B639" s="8" t="str">
        <x:v>D4.2</x:v>
      </x:c>
      <x:c r="C639" s="9" t="str">
        <x:v>Continuity and change</x:v>
      </x:c>
      <x:c r="D639" s="9" t="str">
        <x:v>Sustainability and change</x:v>
      </x:c>
      <x:c r="E639" s="9" t="str">
        <x:v>SL/HL</x:v>
      </x:c>
      <x:c r="F639" s="9" t="str">
        <x:v>Sustainability</x:v>
      </x:c>
      <x:c r="G639" s="9" t="str">
        <x:v>Capacity to maintain ecological and human systems over time without exhausting their supporting resources.</x:v>
      </x:c>
      <x:c r="H639" s="9" t="str">
        <x:v>United Nations Sustainable Development</x:v>
      </x:c>
      <x:c r="I639" s="9" t="str">
        <x:v>https://sdgs.un.org/goals</x:v>
      </x:c>
      <x:c r="J639" s="9" t="str">
        <x:v>Verified</x:v>
      </x:c>
    </x:row>
    <x:row r="640" ht="42" customHeight="1">
      <x:c r="A640" s="8" t="str">
        <x:v>D4.2-02</x:v>
      </x:c>
      <x:c r="B640" s="8" t="str">
        <x:v>D4.2</x:v>
      </x:c>
      <x:c r="C640" s="9" t="str">
        <x:v>Continuity and change</x:v>
      </x:c>
      <x:c r="D640" s="9" t="str">
        <x:v>Sustainability and change</x:v>
      </x:c>
      <x:c r="E640" s="9" t="str">
        <x:v>SL/HL</x:v>
      </x:c>
      <x:c r="F640" s="9" t="str">
        <x:v>Sustainable development</x:v>
      </x:c>
      <x:c r="G640" s="9" t="str">
        <x:v>Development that meets present needs while preserving future generations’ ability to meet their own needs.</x:v>
      </x:c>
      <x:c r="H640" s="9" t="str">
        <x:v>United Nations Sustainable Development</x:v>
      </x:c>
      <x:c r="I640" s="9" t="str">
        <x:v>https://sdgs.un.org/goals</x:v>
      </x:c>
      <x:c r="J640" s="9" t="str">
        <x:v>Verified</x:v>
      </x:c>
    </x:row>
    <x:row r="641" ht="42" customHeight="1">
      <x:c r="A641" s="8" t="str">
        <x:v>D4.2-03</x:v>
      </x:c>
      <x:c r="B641" s="8" t="str">
        <x:v>D4.2</x:v>
      </x:c>
      <x:c r="C641" s="9" t="str">
        <x:v>Continuity and change</x:v>
      </x:c>
      <x:c r="D641" s="9" t="str">
        <x:v>Sustainability and change</x:v>
      </x:c>
      <x:c r="E641" s="9" t="str">
        <x:v>SL/HL</x:v>
      </x:c>
      <x:c r="F641" s="9" t="str">
        <x:v>Ecological footprint</x:v>
      </x:c>
      <x:c r="G641" s="9" t="str">
        <x:v>Biologically productive area needed to supply a population’s resource use and absorb specified wastes.</x:v>
      </x:c>
      <x:c r="H641" s="9" t="str">
        <x:v>United Nations Sustainable Development</x:v>
      </x:c>
      <x:c r="I641" s="9" t="str">
        <x:v>https://sdgs.un.org/goals</x:v>
      </x:c>
      <x:c r="J641" s="9" t="str">
        <x:v>Verified</x:v>
      </x:c>
    </x:row>
    <x:row r="642" ht="42" customHeight="1">
      <x:c r="A642" s="8" t="str">
        <x:v>D4.2-04</x:v>
      </x:c>
      <x:c r="B642" s="8" t="str">
        <x:v>D4.2</x:v>
      </x:c>
      <x:c r="C642" s="9" t="str">
        <x:v>Continuity and change</x:v>
      </x:c>
      <x:c r="D642" s="9" t="str">
        <x:v>Sustainability and change</x:v>
      </x:c>
      <x:c r="E642" s="9" t="str">
        <x:v>SL/HL</x:v>
      </x:c>
      <x:c r="F642" s="9" t="str">
        <x:v>Biocapacity</x:v>
      </x:c>
      <x:c r="G642" s="9" t="str">
        <x:v>An ecosystem’s capacity to generate renewable biological resources and absorb specified wastes.</x:v>
      </x:c>
      <x:c r="H642" s="9" t="str">
        <x:v>United Nations Sustainable Development</x:v>
      </x:c>
      <x:c r="I642" s="9" t="str">
        <x:v>https://sdgs.un.org/goals</x:v>
      </x:c>
      <x:c r="J642" s="9" t="str">
        <x:v>Verified</x:v>
      </x:c>
    </x:row>
    <x:row r="643" ht="42" customHeight="1">
      <x:c r="A643" s="8" t="str">
        <x:v>D4.2-05</x:v>
      </x:c>
      <x:c r="B643" s="8" t="str">
        <x:v>D4.2</x:v>
      </x:c>
      <x:c r="C643" s="9" t="str">
        <x:v>Continuity and change</x:v>
      </x:c>
      <x:c r="D643" s="9" t="str">
        <x:v>Sustainability and change</x:v>
      </x:c>
      <x:c r="E643" s="9" t="str">
        <x:v>SL/HL</x:v>
      </x:c>
      <x:c r="F643" s="9" t="str">
        <x:v>Renewable resource</x:v>
      </x:c>
      <x:c r="G643" s="9" t="str">
        <x:v>A resource replenished naturally on a timescale compatible with its rate of use.</x:v>
      </x:c>
      <x:c r="H643" s="9" t="str">
        <x:v>United Nations Sustainable Development</x:v>
      </x:c>
      <x:c r="I643" s="9" t="str">
        <x:v>https://sdgs.un.org/goals</x:v>
      </x:c>
      <x:c r="J643" s="9" t="str">
        <x:v>Verified</x:v>
      </x:c>
    </x:row>
    <x:row r="644" ht="42" customHeight="1">
      <x:c r="A644" s="8" t="str">
        <x:v>D4.2-06</x:v>
      </x:c>
      <x:c r="B644" s="8" t="str">
        <x:v>D4.2</x:v>
      </x:c>
      <x:c r="C644" s="9" t="str">
        <x:v>Continuity and change</x:v>
      </x:c>
      <x:c r="D644" s="9" t="str">
        <x:v>Sustainability and change</x:v>
      </x:c>
      <x:c r="E644" s="9" t="str">
        <x:v>SL/HL</x:v>
      </x:c>
      <x:c r="F644" s="9" t="str">
        <x:v>Non-renewable resource</x:v>
      </x:c>
      <x:c r="G644" s="9" t="str">
        <x:v>A resource used far faster than natural processes replace it on a human timescale.</x:v>
      </x:c>
      <x:c r="H644" s="9" t="str">
        <x:v>United Nations Sustainable Development</x:v>
      </x:c>
      <x:c r="I644" s="9" t="str">
        <x:v>https://sdgs.un.org/goals</x:v>
      </x:c>
      <x:c r="J644" s="9" t="str">
        <x:v>Verified</x:v>
      </x:c>
    </x:row>
    <x:row r="645" ht="42" customHeight="1">
      <x:c r="A645" s="8" t="str">
        <x:v>D4.2-07</x:v>
      </x:c>
      <x:c r="B645" s="8" t="str">
        <x:v>D4.2</x:v>
      </x:c>
      <x:c r="C645" s="9" t="str">
        <x:v>Continuity and change</x:v>
      </x:c>
      <x:c r="D645" s="9" t="str">
        <x:v>Sustainability and change</x:v>
      </x:c>
      <x:c r="E645" s="9" t="str">
        <x:v>SL/HL</x:v>
      </x:c>
      <x:c r="F645" s="9" t="str">
        <x:v>Sustainable yield</x:v>
      </x:c>
      <x:c r="G645" s="9" t="str">
        <x:v>The largest harvest rate that can be maintained without long-term depletion under stated conditions.</x:v>
      </x:c>
      <x:c r="H645" s="9" t="str">
        <x:v>United Nations Sustainable Development</x:v>
      </x:c>
      <x:c r="I645" s="9" t="str">
        <x:v>https://sdgs.un.org/goals</x:v>
      </x:c>
      <x:c r="J645" s="9" t="str">
        <x:v>Verified</x:v>
      </x:c>
    </x:row>
    <x:row r="646" ht="42" customHeight="1">
      <x:c r="A646" s="8" t="str">
        <x:v>D4.2-08</x:v>
      </x:c>
      <x:c r="B646" s="8" t="str">
        <x:v>D4.2</x:v>
      </x:c>
      <x:c r="C646" s="9" t="str">
        <x:v>Continuity and change</x:v>
      </x:c>
      <x:c r="D646" s="9" t="str">
        <x:v>Sustainability and change</x:v>
      </x:c>
      <x:c r="E646" s="9" t="str">
        <x:v>SL/HL</x:v>
      </x:c>
      <x:c r="F646" s="9" t="str">
        <x:v>Ecosystem service</x:v>
      </x:c>
      <x:c r="G646" s="9" t="str">
        <x:v>A benefit that people obtain from functioning ecosystems.</x:v>
      </x:c>
      <x:c r="H646" s="9" t="str">
        <x:v>United Nations Sustainable Development</x:v>
      </x:c>
      <x:c r="I646" s="9" t="str">
        <x:v>https://sdgs.un.org/goals</x:v>
      </x:c>
      <x:c r="J646" s="9" t="str">
        <x:v>Verified</x:v>
      </x:c>
    </x:row>
    <x:row r="647" ht="42" customHeight="1">
      <x:c r="A647" s="8" t="str">
        <x:v>D4.2-09</x:v>
      </x:c>
      <x:c r="B647" s="8" t="str">
        <x:v>D4.2</x:v>
      </x:c>
      <x:c r="C647" s="9" t="str">
        <x:v>Continuity and change</x:v>
      </x:c>
      <x:c r="D647" s="9" t="str">
        <x:v>Sustainability and change</x:v>
      </x:c>
      <x:c r="E647" s="9" t="str">
        <x:v>SL/HL</x:v>
      </x:c>
      <x:c r="F647" s="9" t="str">
        <x:v>Provisioning service</x:v>
      </x:c>
      <x:c r="G647" s="9" t="str">
        <x:v>A material product supplied by ecosystems, such as food, fresh water, fiber, or medicine.</x:v>
      </x:c>
      <x:c r="H647" s="9" t="str">
        <x:v>United Nations Sustainable Development</x:v>
      </x:c>
      <x:c r="I647" s="9" t="str">
        <x:v>https://sdgs.un.org/goals</x:v>
      </x:c>
      <x:c r="J647" s="9" t="str">
        <x:v>Verified</x:v>
      </x:c>
    </x:row>
    <x:row r="648" ht="42" customHeight="1">
      <x:c r="A648" s="8" t="str">
        <x:v>D4.2-10</x:v>
      </x:c>
      <x:c r="B648" s="8" t="str">
        <x:v>D4.2</x:v>
      </x:c>
      <x:c r="C648" s="9" t="str">
        <x:v>Continuity and change</x:v>
      </x:c>
      <x:c r="D648" s="9" t="str">
        <x:v>Sustainability and change</x:v>
      </x:c>
      <x:c r="E648" s="9" t="str">
        <x:v>SL/HL</x:v>
      </x:c>
      <x:c r="F648" s="9" t="str">
        <x:v>Regulating service</x:v>
      </x:c>
      <x:c r="G648" s="9" t="str">
        <x:v>A benefit from ecosystem regulation of processes such as climate, floods, pollination, or disease.</x:v>
      </x:c>
      <x:c r="H648" s="9" t="str">
        <x:v>United Nations Sustainable Development</x:v>
      </x:c>
      <x:c r="I648" s="9" t="str">
        <x:v>https://sdgs.un.org/goals</x:v>
      </x:c>
      <x:c r="J648" s="9" t="str">
        <x:v>Verified</x:v>
      </x:c>
    </x:row>
    <x:row r="649" ht="42" customHeight="1">
      <x:c r="A649" s="8" t="str">
        <x:v>D4.2-11</x:v>
      </x:c>
      <x:c r="B649" s="8" t="str">
        <x:v>D4.2</x:v>
      </x:c>
      <x:c r="C649" s="9" t="str">
        <x:v>Continuity and change</x:v>
      </x:c>
      <x:c r="D649" s="9" t="str">
        <x:v>Sustainability and change</x:v>
      </x:c>
      <x:c r="E649" s="9" t="str">
        <x:v>SL/HL</x:v>
      </x:c>
      <x:c r="F649" s="9" t="str">
        <x:v>Cultural service</x:v>
      </x:c>
      <x:c r="G649" s="9" t="str">
        <x:v>A non-material ecosystem benefit involving recreation, identity, education, aesthetics, or spiritual value.</x:v>
      </x:c>
      <x:c r="H649" s="9" t="str">
        <x:v>United Nations Sustainable Development</x:v>
      </x:c>
      <x:c r="I649" s="9" t="str">
        <x:v>https://sdgs.un.org/goals</x:v>
      </x:c>
      <x:c r="J649" s="9" t="str">
        <x:v>Verified</x:v>
      </x:c>
    </x:row>
    <x:row r="650" ht="42" customHeight="1">
      <x:c r="A650" s="8" t="str">
        <x:v>D4.2-12</x:v>
      </x:c>
      <x:c r="B650" s="8" t="str">
        <x:v>D4.2</x:v>
      </x:c>
      <x:c r="C650" s="9" t="str">
        <x:v>Continuity and change</x:v>
      </x:c>
      <x:c r="D650" s="9" t="str">
        <x:v>Sustainability and change</x:v>
      </x:c>
      <x:c r="E650" s="9" t="str">
        <x:v>SL/HL</x:v>
      </x:c>
      <x:c r="F650" s="9" t="str">
        <x:v>Supporting service</x:v>
      </x:c>
      <x:c r="G650" s="9" t="str">
        <x:v>A foundational ecosystem process, such as soil formation or nutrient cycling, that enables other services.</x:v>
      </x:c>
      <x:c r="H650" s="9" t="str">
        <x:v>United Nations Sustainable Development</x:v>
      </x:c>
      <x:c r="I650" s="9" t="str">
        <x:v>https://sdgs.un.org/goals</x:v>
      </x:c>
      <x:c r="J650" s="9" t="str">
        <x:v>Verified</x:v>
      </x:c>
    </x:row>
    <x:row r="651" ht="42" customHeight="1">
      <x:c r="A651" s="8" t="str">
        <x:v>D4.2-13</x:v>
      </x:c>
      <x:c r="B651" s="8" t="str">
        <x:v>D4.2</x:v>
      </x:c>
      <x:c r="C651" s="9" t="str">
        <x:v>Continuity and change</x:v>
      </x:c>
      <x:c r="D651" s="9" t="str">
        <x:v>Sustainability and change</x:v>
      </x:c>
      <x:c r="E651" s="9" t="str">
        <x:v>SL/HL</x:v>
      </x:c>
      <x:c r="F651" s="9" t="str">
        <x:v>Ecological resilience</x:v>
      </x:c>
      <x:c r="G651" s="9" t="str">
        <x:v>An ecosystem’s capacity to absorb disturbance and retain its core structure and functions.</x:v>
      </x:c>
      <x:c r="H651" s="9" t="str">
        <x:v>United Nations Sustainable Development</x:v>
      </x:c>
      <x:c r="I651" s="9" t="str">
        <x:v>https://sdgs.un.org/goals</x:v>
      </x:c>
      <x:c r="J651" s="9" t="str">
        <x:v>Verified</x:v>
      </x:c>
    </x:row>
    <x:row r="652" ht="42" customHeight="1">
      <x:c r="A652" s="8" t="str">
        <x:v>D4.2-14</x:v>
      </x:c>
      <x:c r="B652" s="8" t="str">
        <x:v>D4.2</x:v>
      </x:c>
      <x:c r="C652" s="9" t="str">
        <x:v>Continuity and change</x:v>
      </x:c>
      <x:c r="D652" s="9" t="str">
        <x:v>Sustainability and change</x:v>
      </x:c>
      <x:c r="E652" s="9" t="str">
        <x:v>SL/HL</x:v>
      </x:c>
      <x:c r="F652" s="9" t="str">
        <x:v>Ecological tipping point</x:v>
      </x:c>
      <x:c r="G652" s="9" t="str">
        <x:v>A threshold beyond which a small additional change can shift an ecosystem into a different persistent state.</x:v>
      </x:c>
      <x:c r="H652" s="9" t="str">
        <x:v>United Nations Sustainable Development</x:v>
      </x:c>
      <x:c r="I652" s="9" t="str">
        <x:v>https://sdgs.un.org/goals</x:v>
      </x:c>
      <x:c r="J652" s="9" t="str">
        <x:v>Verified</x:v>
      </x:c>
    </x:row>
    <x:row r="653" ht="42" customHeight="1">
      <x:c r="A653" s="8" t="str">
        <x:v>D4.2-15</x:v>
      </x:c>
      <x:c r="B653" s="8" t="str">
        <x:v>D4.2</x:v>
      </x:c>
      <x:c r="C653" s="9" t="str">
        <x:v>Continuity and change</x:v>
      </x:c>
      <x:c r="D653" s="9" t="str">
        <x:v>Sustainability and change</x:v>
      </x:c>
      <x:c r="E653" s="9" t="str">
        <x:v>SL/HL</x:v>
      </x:c>
      <x:c r="F653" s="9" t="str">
        <x:v>Environmental impact assessment</x:v>
      </x:c>
      <x:c r="G653" s="9" t="str">
        <x:v>A structured prediction and evaluation of likely environmental effects before a proposed action is approved.</x:v>
      </x:c>
      <x:c r="H653" s="9" t="str">
        <x:v>United Nations Sustainable Development</x:v>
      </x:c>
      <x:c r="I653" s="9" t="str">
        <x:v>https://sdgs.un.org/goals</x:v>
      </x:c>
      <x:c r="J653" s="9" t="str">
        <x:v>Verified</x:v>
      </x:c>
    </x:row>
    <x:row r="654" ht="42" customHeight="1">
      <x:c r="A654" s="8" t="str">
        <x:v>D4.2-16</x:v>
      </x:c>
      <x:c r="B654" s="8" t="str">
        <x:v>D4.2</x:v>
      </x:c>
      <x:c r="C654" s="9" t="str">
        <x:v>Continuity and change</x:v>
      </x:c>
      <x:c r="D654" s="9" t="str">
        <x:v>Sustainability and change</x:v>
      </x:c>
      <x:c r="E654" s="9" t="str">
        <x:v>SL/HL</x:v>
      </x:c>
      <x:c r="F654" s="9" t="str">
        <x:v>Circular economy</x:v>
      </x:c>
      <x:c r="G654" s="9" t="str">
        <x:v>A production model designed to minimize waste by keeping materials in use through reuse, repair, and recycling.</x:v>
      </x:c>
      <x:c r="H654" s="9" t="str">
        <x:v>United Nations Sustainable Development</x:v>
      </x:c>
      <x:c r="I654" s="9" t="str">
        <x:v>https://sdgs.un.org/goals</x:v>
      </x:c>
      <x:c r="J654" s="9" t="str">
        <x:v>Verified</x:v>
      </x:c>
    </x:row>
    <x:row r="655" ht="42" customHeight="1">
      <x:c r="A655" s="8" t="str">
        <x:v>D4.3-01</x:v>
      </x:c>
      <x:c r="B655" s="8" t="str">
        <x:v>D4.3</x:v>
      </x:c>
      <x:c r="C655" s="9" t="str">
        <x:v>Continuity and change</x:v>
      </x:c>
      <x:c r="D655" s="9" t="str">
        <x:v>Climate change</x:v>
      </x:c>
      <x:c r="E655" s="9" t="str">
        <x:v>SL/HL</x:v>
      </x:c>
      <x:c r="F655" s="9" t="str">
        <x:v>Weather</x:v>
      </x:c>
      <x:c r="G655" s="9" t="str">
        <x:v>Short-term atmospheric conditions at a particular place and time.</x:v>
      </x:c>
      <x:c r="H655" s="9" t="str">
        <x:v>IPCC AR6 Glossary</x:v>
      </x:c>
      <x:c r="I655" s="9" t="str">
        <x:v>https://www.ipcc.ch/report/ar6/wg1/downloads/report/IPCC_AR6_WGI_Annex_VII.pdf</x:v>
      </x:c>
      <x:c r="J655" s="9" t="str">
        <x:v>Verified</x:v>
      </x:c>
    </x:row>
    <x:row r="656" ht="42" customHeight="1">
      <x:c r="A656" s="8" t="str">
        <x:v>D4.3-02</x:v>
      </x:c>
      <x:c r="B656" s="8" t="str">
        <x:v>D4.3</x:v>
      </x:c>
      <x:c r="C656" s="9" t="str">
        <x:v>Continuity and change</x:v>
      </x:c>
      <x:c r="D656" s="9" t="str">
        <x:v>Climate change</x:v>
      </x:c>
      <x:c r="E656" s="9" t="str">
        <x:v>SL/HL</x:v>
      </x:c>
      <x:c r="F656" s="9" t="str">
        <x:v>Climate</x:v>
      </x:c>
      <x:c r="G656" s="9" t="str">
        <x:v>The statistical pattern of weather over a long period, usually decades or longer.</x:v>
      </x:c>
      <x:c r="H656" s="9" t="str">
        <x:v>IPCC AR6 Glossary</x:v>
      </x:c>
      <x:c r="I656" s="9" t="str">
        <x:v>https://www.ipcc.ch/report/ar6/wg1/downloads/report/IPCC_AR6_WGI_Annex_VII.pdf</x:v>
      </x:c>
      <x:c r="J656" s="9" t="str">
        <x:v>Verified</x:v>
      </x:c>
    </x:row>
    <x:row r="657" ht="42" customHeight="1">
      <x:c r="A657" s="8" t="str">
        <x:v>D4.3-03</x:v>
      </x:c>
      <x:c r="B657" s="8" t="str">
        <x:v>D4.3</x:v>
      </x:c>
      <x:c r="C657" s="9" t="str">
        <x:v>Continuity and change</x:v>
      </x:c>
      <x:c r="D657" s="9" t="str">
        <x:v>Climate change</x:v>
      </x:c>
      <x:c r="E657" s="9" t="str">
        <x:v>SL/HL</x:v>
      </x:c>
      <x:c r="F657" s="9" t="str">
        <x:v>Greenhouse effect</x:v>
      </x:c>
      <x:c r="G657" s="9" t="str">
        <x:v>Warming caused when atmospheric gases absorb and re-emit infrared radiation from Earth’s surface and atmosphere.</x:v>
      </x:c>
      <x:c r="H657" s="9" t="str">
        <x:v>IPCC AR6 Glossary</x:v>
      </x:c>
      <x:c r="I657" s="9" t="str">
        <x:v>https://www.ipcc.ch/report/ar6/wg1/downloads/report/IPCC_AR6_WGI_Annex_VII.pdf</x:v>
      </x:c>
      <x:c r="J657" s="9" t="str">
        <x:v>Verified</x:v>
      </x:c>
    </x:row>
    <x:row r="658" ht="42" customHeight="1">
      <x:c r="A658" s="8" t="str">
        <x:v>D4.3-04</x:v>
      </x:c>
      <x:c r="B658" s="8" t="str">
        <x:v>D4.3</x:v>
      </x:c>
      <x:c r="C658" s="9" t="str">
        <x:v>Continuity and change</x:v>
      </x:c>
      <x:c r="D658" s="9" t="str">
        <x:v>Climate change</x:v>
      </x:c>
      <x:c r="E658" s="9" t="str">
        <x:v>SL/HL</x:v>
      </x:c>
      <x:c r="F658" s="9" t="str">
        <x:v>Greenhouse gas</x:v>
      </x:c>
      <x:c r="G658" s="9" t="str">
        <x:v>An atmospheric gas that absorbs and emits infrared radiation at wavelengths relevant to Earth’s energy balance.</x:v>
      </x:c>
      <x:c r="H658" s="9" t="str">
        <x:v>IPCC AR6 Glossary</x:v>
      </x:c>
      <x:c r="I658" s="9" t="str">
        <x:v>https://www.ipcc.ch/report/ar6/wg1/downloads/report/IPCC_AR6_WGI_Annex_VII.pdf</x:v>
      </x:c>
      <x:c r="J658" s="9" t="str">
        <x:v>Verified</x:v>
      </x:c>
    </x:row>
    <x:row r="659" ht="42" customHeight="1">
      <x:c r="A659" s="8" t="str">
        <x:v>D4.3-05</x:v>
      </x:c>
      <x:c r="B659" s="8" t="str">
        <x:v>D4.3</x:v>
      </x:c>
      <x:c r="C659" s="9" t="str">
        <x:v>Continuity and change</x:v>
      </x:c>
      <x:c r="D659" s="9" t="str">
        <x:v>Climate change</x:v>
      </x:c>
      <x:c r="E659" s="9" t="str">
        <x:v>SL/HL</x:v>
      </x:c>
      <x:c r="F659" s="9" t="str">
        <x:v>Enhanced greenhouse effect</x:v>
      </x:c>
      <x:c r="G659" s="9" t="str">
        <x:v>Additional warming caused by human-driven increases in atmospheric greenhouse-gas concentrations.</x:v>
      </x:c>
      <x:c r="H659" s="9" t="str">
        <x:v>IPCC AR6 Glossary</x:v>
      </x:c>
      <x:c r="I659" s="9" t="str">
        <x:v>https://www.ipcc.ch/report/ar6/wg1/downloads/report/IPCC_AR6_WGI_Annex_VII.pdf</x:v>
      </x:c>
      <x:c r="J659" s="9" t="str">
        <x:v>Verified</x:v>
      </x:c>
    </x:row>
    <x:row r="660" ht="42" customHeight="1">
      <x:c r="A660" s="8" t="str">
        <x:v>D4.3-06</x:v>
      </x:c>
      <x:c r="B660" s="8" t="str">
        <x:v>D4.3</x:v>
      </x:c>
      <x:c r="C660" s="9" t="str">
        <x:v>Continuity and change</x:v>
      </x:c>
      <x:c r="D660" s="9" t="str">
        <x:v>Climate change</x:v>
      </x:c>
      <x:c r="E660" s="9" t="str">
        <x:v>SL/HL</x:v>
      </x:c>
      <x:c r="F660" s="9" t="str">
        <x:v>Global warming</x:v>
      </x:c>
      <x:c r="G660" s="9" t="str">
        <x:v>Long-term increase in global mean surface temperature relative to a stated reference period.</x:v>
      </x:c>
      <x:c r="H660" s="9" t="str">
        <x:v>IPCC AR6 Glossary</x:v>
      </x:c>
      <x:c r="I660" s="9" t="str">
        <x:v>https://www.ipcc.ch/report/ar6/wg1/downloads/report/IPCC_AR6_WGI_Annex_VII.pdf</x:v>
      </x:c>
      <x:c r="J660" s="9" t="str">
        <x:v>Verified</x:v>
      </x:c>
    </x:row>
    <x:row r="661" ht="42" customHeight="1">
      <x:c r="A661" s="8" t="str">
        <x:v>D4.3-07</x:v>
      </x:c>
      <x:c r="B661" s="8" t="str">
        <x:v>D4.3</x:v>
      </x:c>
      <x:c r="C661" s="9" t="str">
        <x:v>Continuity and change</x:v>
      </x:c>
      <x:c r="D661" s="9" t="str">
        <x:v>Climate change</x:v>
      </x:c>
      <x:c r="E661" s="9" t="str">
        <x:v>SL/HL</x:v>
      </x:c>
      <x:c r="F661" s="9" t="str">
        <x:v>Climate change</x:v>
      </x:c>
      <x:c r="G661" s="9" t="str">
        <x:v>A persistent change in the statistical state of climate over decades or longer.</x:v>
      </x:c>
      <x:c r="H661" s="9" t="str">
        <x:v>IPCC AR6 Glossary</x:v>
      </x:c>
      <x:c r="I661" s="9" t="str">
        <x:v>https://www.ipcc.ch/report/ar6/wg1/downloads/report/IPCC_AR6_WGI_Annex_VII.pdf</x:v>
      </x:c>
      <x:c r="J661" s="9" t="str">
        <x:v>Verified</x:v>
      </x:c>
    </x:row>
    <x:row r="662" ht="42" customHeight="1">
      <x:c r="A662" s="8" t="str">
        <x:v>D4.3-08</x:v>
      </x:c>
      <x:c r="B662" s="8" t="str">
        <x:v>D4.3</x:v>
      </x:c>
      <x:c r="C662" s="9" t="str">
        <x:v>Continuity and change</x:v>
      </x:c>
      <x:c r="D662" s="9" t="str">
        <x:v>Climate change</x:v>
      </x:c>
      <x:c r="E662" s="9" t="str">
        <x:v>SL/HL</x:v>
      </x:c>
      <x:c r="F662" s="9" t="str">
        <x:v>Radiative forcing</x:v>
      </x:c>
      <x:c r="G662" s="9" t="str">
        <x:v>A change in Earth’s energy balance caused by a driver such as greenhouse gases, aerosols, or solar variation.</x:v>
      </x:c>
      <x:c r="H662" s="9" t="str">
        <x:v>IPCC AR6 Glossary</x:v>
      </x:c>
      <x:c r="I662" s="9" t="str">
        <x:v>https://www.ipcc.ch/report/ar6/wg1/downloads/report/IPCC_AR6_WGI_Annex_VII.pdf</x:v>
      </x:c>
      <x:c r="J662" s="9" t="str">
        <x:v>Verified</x:v>
      </x:c>
    </x:row>
    <x:row r="663" ht="42" customHeight="1">
      <x:c r="A663" s="8" t="str">
        <x:v>D4.3-09</x:v>
      </x:c>
      <x:c r="B663" s="8" t="str">
        <x:v>D4.3</x:v>
      </x:c>
      <x:c r="C663" s="9" t="str">
        <x:v>Continuity and change</x:v>
      </x:c>
      <x:c r="D663" s="9" t="str">
        <x:v>Climate change</x:v>
      </x:c>
      <x:c r="E663" s="9" t="str">
        <x:v>SL/HL</x:v>
      </x:c>
      <x:c r="F663" s="9" t="str">
        <x:v>Albedo</x:v>
      </x:c>
      <x:c r="G663" s="9" t="str">
        <x:v>The fraction of incoming radiation reflected by a surface or system.</x:v>
      </x:c>
      <x:c r="H663" s="9" t="str">
        <x:v>IPCC AR6 Glossary</x:v>
      </x:c>
      <x:c r="I663" s="9" t="str">
        <x:v>https://www.ipcc.ch/report/ar6/wg1/downloads/report/IPCC_AR6_WGI_Annex_VII.pdf</x:v>
      </x:c>
      <x:c r="J663" s="9" t="str">
        <x:v>Verified</x:v>
      </x:c>
    </x:row>
    <x:row r="664" ht="42" customHeight="1">
      <x:c r="A664" s="8" t="str">
        <x:v>D4.3-10</x:v>
      </x:c>
      <x:c r="B664" s="8" t="str">
        <x:v>D4.3</x:v>
      </x:c>
      <x:c r="C664" s="9" t="str">
        <x:v>Continuity and change</x:v>
      </x:c>
      <x:c r="D664" s="9" t="str">
        <x:v>Climate change</x:v>
      </x:c>
      <x:c r="E664" s="9" t="str">
        <x:v>SL/HL</x:v>
      </x:c>
      <x:c r="F664" s="9" t="str">
        <x:v>Carbon sink</x:v>
      </x:c>
      <x:c r="G664" s="9" t="str">
        <x:v>A reservoir or process that removes more carbon from the atmosphere than it releases.</x:v>
      </x:c>
      <x:c r="H664" s="9" t="str">
        <x:v>IPCC AR6 Glossary</x:v>
      </x:c>
      <x:c r="I664" s="9" t="str">
        <x:v>https://www.ipcc.ch/report/ar6/wg1/downloads/report/IPCC_AR6_WGI_Annex_VII.pdf</x:v>
      </x:c>
      <x:c r="J664" s="9" t="str">
        <x:v>Verified</x:v>
      </x:c>
    </x:row>
    <x:row r="665" ht="42" customHeight="1">
      <x:c r="A665" s="8" t="str">
        <x:v>D4.3-11</x:v>
      </x:c>
      <x:c r="B665" s="8" t="str">
        <x:v>D4.3</x:v>
      </x:c>
      <x:c r="C665" s="9" t="str">
        <x:v>Continuity and change</x:v>
      </x:c>
      <x:c r="D665" s="9" t="str">
        <x:v>Climate change</x:v>
      </x:c>
      <x:c r="E665" s="9" t="str">
        <x:v>SL/HL</x:v>
      </x:c>
      <x:c r="F665" s="9" t="str">
        <x:v>Carbon source</x:v>
      </x:c>
      <x:c r="G665" s="9" t="str">
        <x:v>A reservoir or process that releases more carbon to the atmosphere than it removes.</x:v>
      </x:c>
      <x:c r="H665" s="9" t="str">
        <x:v>IPCC AR6 Glossary</x:v>
      </x:c>
      <x:c r="I665" s="9" t="str">
        <x:v>https://www.ipcc.ch/report/ar6/wg1/downloads/report/IPCC_AR6_WGI_Annex_VII.pdf</x:v>
      </x:c>
      <x:c r="J665" s="9" t="str">
        <x:v>Verified</x:v>
      </x:c>
    </x:row>
    <x:row r="666" ht="42" customHeight="1">
      <x:c r="A666" s="8" t="str">
        <x:v>D4.3-12</x:v>
      </x:c>
      <x:c r="B666" s="8" t="str">
        <x:v>D4.3</x:v>
      </x:c>
      <x:c r="C666" s="9" t="str">
        <x:v>Continuity and change</x:v>
      </x:c>
      <x:c r="D666" s="9" t="str">
        <x:v>Climate change</x:v>
      </x:c>
      <x:c r="E666" s="9" t="str">
        <x:v>SL/HL</x:v>
      </x:c>
      <x:c r="F666" s="9" t="str">
        <x:v>Carbon sequestration</x:v>
      </x:c>
      <x:c r="G666" s="9" t="str">
        <x:v>Capture and long-term storage of carbon in biological, geological, or engineered reservoirs.</x:v>
      </x:c>
      <x:c r="H666" s="9" t="str">
        <x:v>IPCC AR6 Glossary</x:v>
      </x:c>
      <x:c r="I666" s="9" t="str">
        <x:v>https://www.ipcc.ch/report/ar6/wg1/downloads/report/IPCC_AR6_WGI_Annex_VII.pdf</x:v>
      </x:c>
      <x:c r="J666" s="9" t="str">
        <x:v>Verified</x:v>
      </x:c>
    </x:row>
    <x:row r="667" ht="42" customHeight="1">
      <x:c r="A667" s="8" t="str">
        <x:v>D4.3-13</x:v>
      </x:c>
      <x:c r="B667" s="8" t="str">
        <x:v>D4.3</x:v>
      </x:c>
      <x:c r="C667" s="9" t="str">
        <x:v>Continuity and change</x:v>
      </x:c>
      <x:c r="D667" s="9" t="str">
        <x:v>Climate change</x:v>
      </x:c>
      <x:c r="E667" s="9" t="str">
        <x:v>SL/HL</x:v>
      </x:c>
      <x:c r="F667" s="9" t="str">
        <x:v>Ocean acidification</x:v>
      </x:c>
      <x:c r="G667" s="9" t="str">
        <x:v>Decline in ocean pH caused mainly by uptake of human-emitted carbon dioxide.</x:v>
      </x:c>
      <x:c r="H667" s="9" t="str">
        <x:v>IPCC AR6 Glossary</x:v>
      </x:c>
      <x:c r="I667" s="9" t="str">
        <x:v>https://www.ipcc.ch/report/ar6/wg1/downloads/report/IPCC_AR6_WGI_Annex_VII.pdf</x:v>
      </x:c>
      <x:c r="J667" s="9" t="str">
        <x:v>Verified</x:v>
      </x:c>
    </x:row>
    <x:row r="668" ht="42" customHeight="1">
      <x:c r="A668" s="8" t="str">
        <x:v>D4.3-14</x:v>
      </x:c>
      <x:c r="B668" s="8" t="str">
        <x:v>D4.3</x:v>
      </x:c>
      <x:c r="C668" s="9" t="str">
        <x:v>Continuity and change</x:v>
      </x:c>
      <x:c r="D668" s="9" t="str">
        <x:v>Climate change</x:v>
      </x:c>
      <x:c r="E668" s="9" t="str">
        <x:v>SL/HL</x:v>
      </x:c>
      <x:c r="F668" s="9" t="str">
        <x:v>Sea-level rise</x:v>
      </x:c>
      <x:c r="G668" s="9" t="str">
        <x:v>Increase in average sea level caused chiefly by ocean warming and loss of land ice.</x:v>
      </x:c>
      <x:c r="H668" s="9" t="str">
        <x:v>IPCC AR6 Glossary</x:v>
      </x:c>
      <x:c r="I668" s="9" t="str">
        <x:v>https://www.ipcc.ch/report/ar6/wg1/downloads/report/IPCC_AR6_WGI_Annex_VII.pdf</x:v>
      </x:c>
      <x:c r="J668" s="9" t="str">
        <x:v>Verified</x:v>
      </x:c>
    </x:row>
    <x:row r="669" ht="42" customHeight="1">
      <x:c r="A669" s="8" t="str">
        <x:v>D4.3-15</x:v>
      </x:c>
      <x:c r="B669" s="8" t="str">
        <x:v>D4.3</x:v>
      </x:c>
      <x:c r="C669" s="9" t="str">
        <x:v>Continuity and change</x:v>
      </x:c>
      <x:c r="D669" s="9" t="str">
        <x:v>Climate change</x:v>
      </x:c>
      <x:c r="E669" s="9" t="str">
        <x:v>SL/HL</x:v>
      </x:c>
      <x:c r="F669" s="9" t="str">
        <x:v>Climate mitigation</x:v>
      </x:c>
      <x:c r="G669" s="9" t="str">
        <x:v>Action that reduces greenhouse-gas emissions or increases removal of those gases from the atmosphere.</x:v>
      </x:c>
      <x:c r="H669" s="9" t="str">
        <x:v>IPCC AR6 Glossary</x:v>
      </x:c>
      <x:c r="I669" s="9" t="str">
        <x:v>https://www.ipcc.ch/report/ar6/wg1/downloads/report/IPCC_AR6_WGI_Annex_VII.pdf</x:v>
      </x:c>
      <x:c r="J669" s="9" t="str">
        <x:v>Verified</x:v>
      </x:c>
    </x:row>
    <x:row r="670" ht="42" customHeight="1">
      <x:c r="A670" s="8" t="str">
        <x:v>D4.3-16</x:v>
      </x:c>
      <x:c r="B670" s="8" t="str">
        <x:v>D4.3</x:v>
      </x:c>
      <x:c r="C670" s="9" t="str">
        <x:v>Continuity and change</x:v>
      </x:c>
      <x:c r="D670" s="9" t="str">
        <x:v>Climate change</x:v>
      </x:c>
      <x:c r="E670" s="9" t="str">
        <x:v>SL/HL</x:v>
      </x:c>
      <x:c r="F670" s="9" t="str">
        <x:v>Climate adaptation</x:v>
      </x:c>
      <x:c r="G670" s="9" t="str">
        <x:v>Adjustment to actual or expected climate effects to reduce harm or use beneficial opportunities.</x:v>
      </x:c>
      <x:c r="H670" s="9" t="str">
        <x:v>IPCC AR6 Glossary</x:v>
      </x:c>
      <x:c r="I670" s="9" t="str">
        <x:v>https://www.ipcc.ch/report/ar6/wg1/downloads/report/IPCC_AR6_WGI_Annex_VII.pdf</x:v>
      </x:c>
      <x:c r="J670" s="9" t="str">
        <x:v>Verified</x:v>
      </x:c>
    </x:row>
    <x:row r="671" ht="42" customHeight="1">
      <x:c r="A671" s="8" t="str">
        <x:v>D4.3-17</x:v>
      </x:c>
      <x:c r="B671" s="8" t="str">
        <x:v>D4.3</x:v>
      </x:c>
      <x:c r="C671" s="9" t="str">
        <x:v>Continuity and change</x:v>
      </x:c>
      <x:c r="D671" s="9" t="str">
        <x:v>Climate change</x:v>
      </x:c>
      <x:c r="E671" s="9" t="str">
        <x:v>SL/HL</x:v>
      </x:c>
      <x:c r="F671" s="9" t="str">
        <x:v>Climate feedback</x:v>
      </x:c>
      <x:c r="G671" s="9" t="str">
        <x:v>A process that amplifies or dampens a climate response after an initial forcing.</x:v>
      </x:c>
      <x:c r="H671" s="9" t="str">
        <x:v>IPCC AR6 Glossary</x:v>
      </x:c>
      <x:c r="I671" s="9" t="str">
        <x:v>https://www.ipcc.ch/report/ar6/wg1/downloads/report/IPCC_AR6_WGI_Annex_VII.pdf</x:v>
      </x:c>
      <x:c r="J671" s="9" t="str">
        <x:v>Verified</x:v>
      </x:c>
    </x:row>
    <x:row r="672" ht="42" customHeight="1">
      <x:c r="A672" s="8" t="str">
        <x:v>D4.3-18</x:v>
      </x:c>
      <x:c r="B672" s="8" t="str">
        <x:v>D4.3</x:v>
      </x:c>
      <x:c r="C672" s="9" t="str">
        <x:v>Continuity and change</x:v>
      </x:c>
      <x:c r="D672" s="9" t="str">
        <x:v>Climate change</x:v>
      </x:c>
      <x:c r="E672" s="9" t="str">
        <x:v>SL/HL</x:v>
      </x:c>
      <x:c r="F672" s="9" t="str">
        <x:v>Permafrost</x:v>
      </x:c>
      <x:c r="G672" s="9" t="str">
        <x:v>Ground that remains at or below 0 °C for at least two consecutive years.</x:v>
      </x:c>
      <x:c r="H672" s="9" t="str">
        <x:v>IPCC AR6 Glossary</x:v>
      </x:c>
      <x:c r="I672" s="9" t="str">
        <x:v>https://www.ipcc.ch/report/ar6/wg1/downloads/report/IPCC_AR6_WGI_Annex_VII.pdf</x:v>
      </x:c>
      <x:c r="J672" s="9" t="str">
        <x:v>Verified</x:v>
      </x:c>
    </x:row>
    <x:row r="673" ht="42" customHeight="1">
      <x:c r="A673" s="8" t="str">
        <x:v>D4.3-19</x:v>
      </x:c>
      <x:c r="B673" s="8" t="str">
        <x:v>D4.3</x:v>
      </x:c>
      <x:c r="C673" s="9" t="str">
        <x:v>Continuity and change</x:v>
      </x:c>
      <x:c r="D673" s="9" t="str">
        <x:v>Climate change</x:v>
      </x:c>
      <x:c r="E673" s="9" t="str">
        <x:v>SL/HL</x:v>
      </x:c>
      <x:c r="F673" s="9" t="str">
        <x:v>Phenological shift</x:v>
      </x:c>
      <x:c r="G673" s="9" t="str">
        <x:v>A climate-associated change in the seasonal timing of biological events such as flowering or migration.</x:v>
      </x:c>
      <x:c r="H673" s="9" t="str">
        <x:v>IPCC AR6 Glossary</x:v>
      </x:c>
      <x:c r="I673" s="9" t="str">
        <x:v>https://www.ipcc.ch/report/ar6/wg1/downloads/report/IPCC_AR6_WGI_Annex_VII.pdf</x:v>
      </x:c>
      <x:c r="J673" s="9" t="str">
        <x:v>Verified</x:v>
      </x:c>
    </x:row>
    <x:row r="674" ht="42" customHeight="1">
      <x:c r="A674" s="8" t="str">
        <x:v>D4.3-20</x:v>
      </x:c>
      <x:c r="B674" s="8" t="str">
        <x:v>D4.3</x:v>
      </x:c>
      <x:c r="C674" s="9" t="str">
        <x:v>Continuity and change</x:v>
      </x:c>
      <x:c r="D674" s="9" t="str">
        <x:v>Climate change</x:v>
      </x:c>
      <x:c r="E674" s="9" t="str">
        <x:v>SL/HL</x:v>
      </x:c>
      <x:c r="F674" s="9" t="str">
        <x:v>Coral bleaching</x:v>
      </x:c>
      <x:c r="G674" s="9" t="str">
        <x:v>Loss of algal symbionts or their pigments from corals under stress, leaving tissue pale and energy-limited.</x:v>
      </x:c>
      <x:c r="H674" s="9" t="str">
        <x:v>IPCC AR6 Glossary</x:v>
      </x:c>
      <x:c r="I674" s="9" t="str">
        <x:v>https://www.ipcc.ch/report/ar6/wg1/downloads/report/IPCC_AR6_WGI_Annex_VII.pdf</x:v>
      </x:c>
      <x:c r="J674" s="9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88a723fc581747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35" hidden="0" customWidth="1"/>
    <x:col min="5" max="5" width="20" hidden="0" customWidth="1"/>
    <x:col min="6" max="6" width="42" hidden="0" customWidth="1"/>
    <x:col min="7" max="7" width="54" hidden="0" customWidth="1"/>
    <x:col min="8" max="8" width="14" hidden="0" customWidth="1"/>
  </x:cols>
  <x:sheetData>
    <x:row r="1" ht="30" customHeight="1">
      <x:c r="A1" s="5" t="str">
        <x:v>ID</x:v>
      </x:c>
      <x:c r="B1" s="5" t="str">
        <x:v>Word Part</x:v>
      </x:c>
      <x:c r="C1" s="5" t="str">
        <x:v>Meaning</x:v>
      </x:c>
      <x:c r="D1" s="5" t="str">
        <x:v>Examples</x:v>
      </x:c>
      <x:c r="E1" s="5" t="str">
        <x:v>Ambiguity Group</x:v>
      </x:c>
      <x:c r="F1" s="5" t="str">
        <x:v>Source Title</x:v>
      </x:c>
      <x:c r="G1" s="5" t="str">
        <x:v>Source URL</x:v>
      </x:c>
      <x:c r="H1" s="5" t="str">
        <x:v>Review Status</x:v>
      </x:c>
    </x:row>
    <x:row r="2" ht="36" customHeight="1">
      <x:c r="A2" s="8" t="str">
        <x:v>WP-001</x:v>
      </x:c>
      <x:c r="B2" s="9" t="str">
        <x:v>a-, an-</x:v>
      </x:c>
      <x:c r="C2" s="9" t="str">
        <x:v>without; lacking</x:v>
      </x:c>
      <x:c r="D2" s="9" t="str">
        <x:v>anaerobic, anoxia</x:v>
      </x:c>
      <x:c r="E2" s="9" t="str"/>
      <x:c r="F2" s="9" t="str">
        <x:v>MedlinePlus: Word Parts and What They Mean</x:v>
      </x:c>
      <x:c r="G2" s="9" t="str">
        <x:v>https://medlineplus.gov/appendixa.html</x:v>
      </x:c>
      <x:c r="H2" s="9" t="str">
        <x:v>Verified</x:v>
      </x:c>
    </x:row>
    <x:row r="3" ht="36" customHeight="1">
      <x:c r="A3" s="8" t="str">
        <x:v>WP-002</x:v>
      </x:c>
      <x:c r="B3" s="9" t="str">
        <x:v>ab-</x:v>
      </x:c>
      <x:c r="C3" s="9" t="str">
        <x:v>away from</x:v>
      </x:c>
      <x:c r="D3" s="9" t="str">
        <x:v>abduction</x:v>
      </x:c>
      <x:c r="E3" s="9" t="str">
        <x:v>away</x:v>
      </x:c>
      <x:c r="F3" s="9" t="str">
        <x:v>MedlinePlus: Word Parts and What They Mean</x:v>
      </x:c>
      <x:c r="G3" s="9" t="str">
        <x:v>https://medlineplus.gov/appendixa.html</x:v>
      </x:c>
      <x:c r="H3" s="9" t="str">
        <x:v>Verified</x:v>
      </x:c>
    </x:row>
    <x:row r="4" ht="36" customHeight="1">
      <x:c r="A4" s="8" t="str">
        <x:v>WP-003</x:v>
      </x:c>
      <x:c r="B4" s="9" t="str">
        <x:v>ad-</x:v>
      </x:c>
      <x:c r="C4" s="9" t="str">
        <x:v>toward</x:v>
      </x:c>
      <x:c r="D4" s="9" t="str">
        <x:v>adhesion, adduction</x:v>
      </x:c>
      <x:c r="E4" s="9" t="str"/>
      <x:c r="F4" s="9" t="str">
        <x:v>MedlinePlus: Word Parts and What They Mean</x:v>
      </x:c>
      <x:c r="G4" s="9" t="str">
        <x:v>https://medlineplus.gov/appendixa.html</x:v>
      </x:c>
      <x:c r="H4" s="9" t="str">
        <x:v>Verified</x:v>
      </x:c>
    </x:row>
    <x:row r="5" ht="36" customHeight="1">
      <x:c r="A5" s="8" t="str">
        <x:v>WP-004</x:v>
      </x:c>
      <x:c r="B5" s="9" t="str">
        <x:v>adipo-</x:v>
      </x:c>
      <x:c r="C5" s="9" t="str">
        <x:v>fat or adipose tissue</x:v>
      </x:c>
      <x:c r="D5" s="9" t="str">
        <x:v>adipocyte</x:v>
      </x:c>
      <x:c r="E5" s="9" t="str">
        <x:v>fat</x:v>
      </x:c>
      <x:c r="F5" s="9" t="str">
        <x:v>MedlinePlus: Word Parts and What They Mean</x:v>
      </x:c>
      <x:c r="G5" s="9" t="str">
        <x:v>https://medlineplus.gov/appendixa.html</x:v>
      </x:c>
      <x:c r="H5" s="9" t="str">
        <x:v>Verified</x:v>
      </x:c>
    </x:row>
    <x:row r="6" ht="36" customHeight="1">
      <x:c r="A6" s="8" t="str">
        <x:v>WP-005</x:v>
      </x:c>
      <x:c r="B6" s="9" t="str">
        <x:v>aero-</x:v>
      </x:c>
      <x:c r="C6" s="9" t="str">
        <x:v>air or oxygen</x:v>
      </x:c>
      <x:c r="D6" s="9" t="str">
        <x:v>aerobic, aerotaxis</x:v>
      </x:c>
      <x:c r="E6" s="9" t="str">
        <x:v>air</x:v>
      </x:c>
      <x:c r="F6" s="9" t="str">
        <x:v>MedlinePlus: Word Parts and What They Mean</x:v>
      </x:c>
      <x:c r="G6" s="9" t="str">
        <x:v>https://medlineplus.gov/appendixa.html</x:v>
      </x:c>
      <x:c r="H6" s="9" t="str">
        <x:v>Verified</x:v>
      </x:c>
    </x:row>
    <x:row r="7" ht="36" customHeight="1">
      <x:c r="A7" s="8" t="str">
        <x:v>WP-006</x:v>
      </x:c>
      <x:c r="B7" s="9" t="str">
        <x:v>alb-</x:v>
      </x:c>
      <x:c r="C7" s="9" t="str">
        <x:v>white</x:v>
      </x:c>
      <x:c r="D7" s="9" t="str">
        <x:v>albinism</x:v>
      </x:c>
      <x:c r="E7" s="9" t="str">
        <x:v>white</x:v>
      </x:c>
      <x:c r="F7" s="9" t="str">
        <x:v>MedlinePlus: Word Parts and What They Mean</x:v>
      </x:c>
      <x:c r="G7" s="9" t="str">
        <x:v>https://medlineplus.gov/appendixa.html</x:v>
      </x:c>
      <x:c r="H7" s="9" t="str">
        <x:v>Verified</x:v>
      </x:c>
    </x:row>
    <x:row r="8" ht="36" customHeight="1">
      <x:c r="A8" s="8" t="str">
        <x:v>WP-007</x:v>
      </x:c>
      <x:c r="B8" s="9" t="str">
        <x:v>amphi-</x:v>
      </x:c>
      <x:c r="C8" s="9" t="str">
        <x:v>both or on both sides</x:v>
      </x:c>
      <x:c r="D8" s="9" t="str">
        <x:v>amphipathic</x:v>
      </x:c>
      <x:c r="E8" s="9" t="str">
        <x:v>two</x:v>
      </x:c>
      <x:c r="F8" s="9" t="str">
        <x:v>MedlinePlus: Word Parts and What They Mean</x:v>
      </x:c>
      <x:c r="G8" s="9" t="str">
        <x:v>https://medlineplus.gov/appendixa.html</x:v>
      </x:c>
      <x:c r="H8" s="9" t="str">
        <x:v>Verified</x:v>
      </x:c>
    </x:row>
    <x:row r="9" ht="36" customHeight="1">
      <x:c r="A9" s="8" t="str">
        <x:v>WP-008</x:v>
      </x:c>
      <x:c r="B9" s="9" t="str">
        <x:v>anti-</x:v>
      </x:c>
      <x:c r="C9" s="9" t="str">
        <x:v>against or opposing</x:v>
      </x:c>
      <x:c r="D9" s="9" t="str">
        <x:v>antibody, anticodon</x:v>
      </x:c>
      <x:c r="E9" s="9" t="str"/>
      <x:c r="F9" s="9" t="str">
        <x:v>MedlinePlus: Word Parts and What They Mean</x:v>
      </x:c>
      <x:c r="G9" s="9" t="str">
        <x:v>https://medlineplus.gov/appendixa.html</x:v>
      </x:c>
      <x:c r="H9" s="9" t="str">
        <x:v>Verified</x:v>
      </x:c>
    </x:row>
    <x:row r="10" ht="36" customHeight="1">
      <x:c r="A10" s="8" t="str">
        <x:v>WP-009</x:v>
      </x:c>
      <x:c r="B10" s="9" t="str">
        <x:v>apo-</x:v>
      </x:c>
      <x:c r="C10" s="9" t="str">
        <x:v>away from or separate</x:v>
      </x:c>
      <x:c r="D10" s="9" t="str">
        <x:v>apocrine, apoptosis</x:v>
      </x:c>
      <x:c r="E10" s="9" t="str">
        <x:v>away</x:v>
      </x:c>
      <x:c r="F10" s="9" t="str">
        <x:v>MedlinePlus: Word Parts and What They Mean</x:v>
      </x:c>
      <x:c r="G10" s="9" t="str">
        <x:v>https://medlineplus.gov/appendixa.html</x:v>
      </x:c>
      <x:c r="H10" s="9" t="str">
        <x:v>Verified</x:v>
      </x:c>
    </x:row>
    <x:row r="11" ht="36" customHeight="1">
      <x:c r="A11" s="8" t="str">
        <x:v>WP-010</x:v>
      </x:c>
      <x:c r="B11" s="9" t="str">
        <x:v>auto-</x:v>
      </x:c>
      <x:c r="C11" s="9" t="str">
        <x:v>self</x:v>
      </x:c>
      <x:c r="D11" s="9" t="str">
        <x:v>autotroph, autoimmune</x:v>
      </x:c>
      <x:c r="E11" s="9" t="str"/>
      <x:c r="F11" s="9" t="str">
        <x:v>MedlinePlus: Word Parts and What They Mean</x:v>
      </x:c>
      <x:c r="G11" s="9" t="str">
        <x:v>https://medlineplus.gov/appendixa.html</x:v>
      </x:c>
      <x:c r="H11" s="9" t="str">
        <x:v>Verified</x:v>
      </x:c>
    </x:row>
    <x:row r="12" ht="36" customHeight="1">
      <x:c r="A12" s="8" t="str">
        <x:v>WP-011</x:v>
      </x:c>
      <x:c r="B12" s="9" t="str">
        <x:v>bi-</x:v>
      </x:c>
      <x:c r="C12" s="9" t="str">
        <x:v>two</x:v>
      </x:c>
      <x:c r="D12" s="9" t="str">
        <x:v>bilayer, bivalent</x:v>
      </x:c>
      <x:c r="E12" s="9" t="str">
        <x:v>two</x:v>
      </x:c>
      <x:c r="F12" s="9" t="str">
        <x:v>MedlinePlus: Word Parts and What They Mean</x:v>
      </x:c>
      <x:c r="G12" s="9" t="str">
        <x:v>https://medlineplus.gov/appendixa.html</x:v>
      </x:c>
      <x:c r="H12" s="9" t="str">
        <x:v>Verified</x:v>
      </x:c>
    </x:row>
    <x:row r="13" ht="36" customHeight="1">
      <x:c r="A13" s="8" t="str">
        <x:v>WP-012</x:v>
      </x:c>
      <x:c r="B13" s="9" t="str">
        <x:v>bio-</x:v>
      </x:c>
      <x:c r="C13" s="9" t="str">
        <x:v>life</x:v>
      </x:c>
      <x:c r="D13" s="9" t="str">
        <x:v>biology, biodiversity</x:v>
      </x:c>
      <x:c r="E13" s="9" t="str"/>
      <x:c r="F13" s="9" t="str">
        <x:v>MedlinePlus: Word Parts and What They Mean</x:v>
      </x:c>
      <x:c r="G13" s="9" t="str">
        <x:v>https://medlineplus.gov/appendixa.html</x:v>
      </x:c>
      <x:c r="H13" s="9" t="str">
        <x:v>Verified</x:v>
      </x:c>
    </x:row>
    <x:row r="14" ht="36" customHeight="1">
      <x:c r="A14" s="8" t="str">
        <x:v>WP-013</x:v>
      </x:c>
      <x:c r="B14" s="9" t="str">
        <x:v>brachy-</x:v>
      </x:c>
      <x:c r="C14" s="9" t="str">
        <x:v>short</x:v>
      </x:c>
      <x:c r="D14" s="9" t="str">
        <x:v>brachydactyly</x:v>
      </x:c>
      <x:c r="E14" s="9" t="str"/>
      <x:c r="F14" s="9" t="str">
        <x:v>MedlinePlus: Word Parts and What They Mean</x:v>
      </x:c>
      <x:c r="G14" s="9" t="str">
        <x:v>https://medlineplus.gov/appendixa.html</x:v>
      </x:c>
      <x:c r="H14" s="9" t="str">
        <x:v>Verified</x:v>
      </x:c>
    </x:row>
    <x:row r="15" ht="36" customHeight="1">
      <x:c r="A15" s="8" t="str">
        <x:v>WP-014</x:v>
      </x:c>
      <x:c r="B15" s="9" t="str">
        <x:v>brady-</x:v>
      </x:c>
      <x:c r="C15" s="9" t="str">
        <x:v>slow</x:v>
      </x:c>
      <x:c r="D15" s="9" t="str">
        <x:v>bradycardia</x:v>
      </x:c>
      <x:c r="E15" s="9" t="str"/>
      <x:c r="F15" s="9" t="str">
        <x:v>MedlinePlus: Word Parts and What They Mean</x:v>
      </x:c>
      <x:c r="G15" s="9" t="str">
        <x:v>https://medlineplus.gov/appendixa.html</x:v>
      </x:c>
      <x:c r="H15" s="9" t="str">
        <x:v>Verified</x:v>
      </x:c>
    </x:row>
    <x:row r="16" ht="36" customHeight="1">
      <x:c r="A16" s="8" t="str">
        <x:v>WP-015</x:v>
      </x:c>
      <x:c r="B16" s="9" t="str">
        <x:v>carcin-</x:v>
      </x:c>
      <x:c r="C16" s="9" t="str">
        <x:v>cancer</x:v>
      </x:c>
      <x:c r="D16" s="9" t="str">
        <x:v>carcinogen, carcinoma</x:v>
      </x:c>
      <x:c r="E16" s="9" t="str">
        <x:v>tumor</x:v>
      </x:c>
      <x:c r="F16" s="9" t="str">
        <x:v>MedlinePlus: Word Parts and What They Mean</x:v>
      </x:c>
      <x:c r="G16" s="9" t="str">
        <x:v>https://medlineplus.gov/appendixa.html</x:v>
      </x:c>
      <x:c r="H16" s="9" t="str">
        <x:v>Verified</x:v>
      </x:c>
    </x:row>
    <x:row r="17" ht="36" customHeight="1">
      <x:c r="A17" s="8" t="str">
        <x:v>WP-016</x:v>
      </x:c>
      <x:c r="B17" s="9" t="str">
        <x:v>cardi-</x:v>
      </x:c>
      <x:c r="C17" s="9" t="str">
        <x:v>heart</x:v>
      </x:c>
      <x:c r="D17" s="9" t="str">
        <x:v>cardiac, cardiomyocyte</x:v>
      </x:c>
      <x:c r="E17" s="9" t="str"/>
      <x:c r="F17" s="9" t="str">
        <x:v>MedlinePlus: Word Parts and What They Mean</x:v>
      </x:c>
      <x:c r="G17" s="9" t="str">
        <x:v>https://medlineplus.gov/appendixa.html</x:v>
      </x:c>
      <x:c r="H17" s="9" t="str">
        <x:v>Verified</x:v>
      </x:c>
    </x:row>
    <x:row r="18" ht="36" customHeight="1">
      <x:c r="A18" s="8" t="str">
        <x:v>WP-017</x:v>
      </x:c>
      <x:c r="B18" s="9" t="str">
        <x:v>cephal-</x:v>
      </x:c>
      <x:c r="C18" s="9" t="str">
        <x:v>head</x:v>
      </x:c>
      <x:c r="D18" s="9" t="str">
        <x:v>cephalization</x:v>
      </x:c>
      <x:c r="E18" s="9" t="str"/>
      <x:c r="F18" s="9" t="str">
        <x:v>MedlinePlus: Word Parts and What They Mean</x:v>
      </x:c>
      <x:c r="G18" s="9" t="str">
        <x:v>https://medlineplus.gov/appendixa.html</x:v>
      </x:c>
      <x:c r="H18" s="9" t="str">
        <x:v>Verified</x:v>
      </x:c>
    </x:row>
    <x:row r="19" ht="36" customHeight="1">
      <x:c r="A19" s="8" t="str">
        <x:v>WP-018</x:v>
      </x:c>
      <x:c r="B19" s="9" t="str">
        <x:v>chlor-</x:v>
      </x:c>
      <x:c r="C19" s="9" t="str">
        <x:v>green</x:v>
      </x:c>
      <x:c r="D19" s="9" t="str">
        <x:v>chlorophyll, chloroplast</x:v>
      </x:c>
      <x:c r="E19" s="9" t="str"/>
      <x:c r="F19" s="9" t="str">
        <x:v>MedlinePlus: Word Parts and What They Mean</x:v>
      </x:c>
      <x:c r="G19" s="9" t="str">
        <x:v>https://medlineplus.gov/appendixa.html</x:v>
      </x:c>
      <x:c r="H19" s="9" t="str">
        <x:v>Verified</x:v>
      </x:c>
    </x:row>
    <x:row r="20" ht="36" customHeight="1">
      <x:c r="A20" s="8" t="str">
        <x:v>WP-019</x:v>
      </x:c>
      <x:c r="B20" s="9" t="str">
        <x:v>chrom-</x:v>
      </x:c>
      <x:c r="C20" s="9" t="str">
        <x:v>color</x:v>
      </x:c>
      <x:c r="D20" s="9" t="str">
        <x:v>chromosome, chromatography</x:v>
      </x:c>
      <x:c r="E20" s="9" t="str"/>
      <x:c r="F20" s="9" t="str">
        <x:v>MedlinePlus: Word Parts and What They Mean</x:v>
      </x:c>
      <x:c r="G20" s="9" t="str">
        <x:v>https://medlineplus.gov/appendixa.html</x:v>
      </x:c>
      <x:c r="H20" s="9" t="str">
        <x:v>Verified</x:v>
      </x:c>
    </x:row>
    <x:row r="21" ht="36" customHeight="1">
      <x:c r="A21" s="8" t="str">
        <x:v>WP-020</x:v>
      </x:c>
      <x:c r="B21" s="9" t="str">
        <x:v>-cide</x:v>
      </x:c>
      <x:c r="C21" s="9" t="str">
        <x:v>killing or an agent that kills</x:v>
      </x:c>
      <x:c r="D21" s="9" t="str">
        <x:v>bactericide, pesticide</x:v>
      </x:c>
      <x:c r="E21" s="9" t="str"/>
      <x:c r="F21" s="9" t="str">
        <x:v>MedlinePlus: Word Parts and What They Mean</x:v>
      </x:c>
      <x:c r="G21" s="9" t="str">
        <x:v>https://medlineplus.gov/appendixa.html</x:v>
      </x:c>
      <x:c r="H21" s="9" t="str">
        <x:v>Verified</x:v>
      </x:c>
    </x:row>
    <x:row r="22" ht="36" customHeight="1">
      <x:c r="A22" s="8" t="str">
        <x:v>WP-021</x:v>
      </x:c>
      <x:c r="B22" s="9" t="str">
        <x:v>co-, con-</x:v>
      </x:c>
      <x:c r="C22" s="9" t="str">
        <x:v>together or jointly</x:v>
      </x:c>
      <x:c r="D22" s="9" t="str">
        <x:v>coenzyme, condensation</x:v>
      </x:c>
      <x:c r="E22" s="9" t="str">
        <x:v>together</x:v>
      </x:c>
      <x:c r="F22" s="9" t="str">
        <x:v>MedlinePlus: Word Parts and What They Mean</x:v>
      </x:c>
      <x:c r="G22" s="9" t="str">
        <x:v>https://medlineplus.gov/appendixa.html</x:v>
      </x:c>
      <x:c r="H22" s="9" t="str">
        <x:v>Verified</x:v>
      </x:c>
    </x:row>
    <x:row r="23" ht="36" customHeight="1">
      <x:c r="A23" s="8" t="str">
        <x:v>WP-022</x:v>
      </x:c>
      <x:c r="B23" s="9" t="str">
        <x:v>cyto-</x:v>
      </x:c>
      <x:c r="C23" s="9" t="str">
        <x:v>cell</x:v>
      </x:c>
      <x:c r="D23" s="9" t="str">
        <x:v>cytoplasm, cytokinesis</x:v>
      </x:c>
      <x:c r="E23" s="9" t="str">
        <x:v>cell</x:v>
      </x:c>
      <x:c r="F23" s="9" t="str">
        <x:v>MedlinePlus: Word Parts and What They Mean</x:v>
      </x:c>
      <x:c r="G23" s="9" t="str">
        <x:v>https://medlineplus.gov/appendixa.html</x:v>
      </x:c>
      <x:c r="H23" s="9" t="str">
        <x:v>Verified</x:v>
      </x:c>
    </x:row>
    <x:row r="24" ht="36" customHeight="1">
      <x:c r="A24" s="8" t="str">
        <x:v>WP-023</x:v>
      </x:c>
      <x:c r="B24" s="9" t="str">
        <x:v>-cyte</x:v>
      </x:c>
      <x:c r="C24" s="9" t="str">
        <x:v>cell</x:v>
      </x:c>
      <x:c r="D24" s="9" t="str">
        <x:v>erythrocyte, leukocyte</x:v>
      </x:c>
      <x:c r="E24" s="9" t="str">
        <x:v>cell</x:v>
      </x:c>
      <x:c r="F24" s="9" t="str">
        <x:v>MedlinePlus: Word Parts and What They Mean</x:v>
      </x:c>
      <x:c r="G24" s="9" t="str">
        <x:v>https://medlineplus.gov/appendixa.html</x:v>
      </x:c>
      <x:c r="H24" s="9" t="str">
        <x:v>Verified</x:v>
      </x:c>
    </x:row>
    <x:row r="25" ht="36" customHeight="1">
      <x:c r="A25" s="8" t="str">
        <x:v>WP-024</x:v>
      </x:c>
      <x:c r="B25" s="9" t="str">
        <x:v>derm-</x:v>
      </x:c>
      <x:c r="C25" s="9" t="str">
        <x:v>skin or outer tissue layer</x:v>
      </x:c>
      <x:c r="D25" s="9" t="str">
        <x:v>epidermis, dermis</x:v>
      </x:c>
      <x:c r="E25" s="9" t="str"/>
      <x:c r="F25" s="9" t="str">
        <x:v>MedlinePlus: Word Parts and What They Mean</x:v>
      </x:c>
      <x:c r="G25" s="9" t="str">
        <x:v>https://medlineplus.gov/appendixa.html</x:v>
      </x:c>
      <x:c r="H25" s="9" t="str">
        <x:v>Verified</x:v>
      </x:c>
    </x:row>
    <x:row r="26" ht="36" customHeight="1">
      <x:c r="A26" s="8" t="str">
        <x:v>WP-025</x:v>
      </x:c>
      <x:c r="B26" s="9" t="str">
        <x:v>di-</x:v>
      </x:c>
      <x:c r="C26" s="9" t="str">
        <x:v>two or twice</x:v>
      </x:c>
      <x:c r="D26" s="9" t="str">
        <x:v>diploid, disaccharide</x:v>
      </x:c>
      <x:c r="E26" s="9" t="str">
        <x:v>two</x:v>
      </x:c>
      <x:c r="F26" s="9" t="str">
        <x:v>MedlinePlus: Word Parts and What They Mean</x:v>
      </x:c>
      <x:c r="G26" s="9" t="str">
        <x:v>https://medlineplus.gov/appendixa.html</x:v>
      </x:c>
      <x:c r="H26" s="9" t="str">
        <x:v>Verified</x:v>
      </x:c>
    </x:row>
    <x:row r="27" ht="36" customHeight="1">
      <x:c r="A27" s="8" t="str">
        <x:v>WP-026</x:v>
      </x:c>
      <x:c r="B27" s="9" t="str">
        <x:v>diplo-</x:v>
      </x:c>
      <x:c r="C27" s="9" t="str">
        <x:v>double</x:v>
      </x:c>
      <x:c r="D27" s="9" t="str">
        <x:v>diploid, diplotene</x:v>
      </x:c>
      <x:c r="E27" s="9" t="str">
        <x:v>two</x:v>
      </x:c>
      <x:c r="F27" s="9" t="str">
        <x:v>MedlinePlus: Word Parts and What They Mean</x:v>
      </x:c>
      <x:c r="G27" s="9" t="str">
        <x:v>https://medlineplus.gov/appendixa.html</x:v>
      </x:c>
      <x:c r="H27" s="9" t="str">
        <x:v>Verified</x:v>
      </x:c>
    </x:row>
    <x:row r="28" ht="36" customHeight="1">
      <x:c r="A28" s="8" t="str">
        <x:v>WP-027</x:v>
      </x:c>
      <x:c r="B28" s="9" t="str">
        <x:v>ecto-</x:v>
      </x:c>
      <x:c r="C28" s="9" t="str">
        <x:v>outer or outside</x:v>
      </x:c>
      <x:c r="D28" s="9" t="str">
        <x:v>ectoderm, ectotherm</x:v>
      </x:c>
      <x:c r="E28" s="9" t="str">
        <x:v>outside</x:v>
      </x:c>
      <x:c r="F28" s="9" t="str">
        <x:v>MedlinePlus: Word Parts and What They Mean</x:v>
      </x:c>
      <x:c r="G28" s="9" t="str">
        <x:v>https://medlineplus.gov/appendixa.html</x:v>
      </x:c>
      <x:c r="H28" s="9" t="str">
        <x:v>Verified</x:v>
      </x:c>
    </x:row>
    <x:row r="29" ht="36" customHeight="1">
      <x:c r="A29" s="8" t="str">
        <x:v>WP-028</x:v>
      </x:c>
      <x:c r="B29" s="9" t="str">
        <x:v>endo-</x:v>
      </x:c>
      <x:c r="C29" s="9" t="str">
        <x:v>inner or within</x:v>
      </x:c>
      <x:c r="D29" s="9" t="str">
        <x:v>endocytosis, endosymbiosis</x:v>
      </x:c>
      <x:c r="E29" s="9" t="str">
        <x:v>inside</x:v>
      </x:c>
      <x:c r="F29" s="9" t="str">
        <x:v>MedlinePlus: Word Parts and What They Mean</x:v>
      </x:c>
      <x:c r="G29" s="9" t="str">
        <x:v>https://medlineplus.gov/appendixa.html</x:v>
      </x:c>
      <x:c r="H29" s="9" t="str">
        <x:v>Verified</x:v>
      </x:c>
    </x:row>
    <x:row r="30" ht="36" customHeight="1">
      <x:c r="A30" s="8" t="str">
        <x:v>WP-029</x:v>
      </x:c>
      <x:c r="B30" s="9" t="str">
        <x:v>epi-</x:v>
      </x:c>
      <x:c r="C30" s="9" t="str">
        <x:v>upon or at a surface</x:v>
      </x:c>
      <x:c r="D30" s="9" t="str">
        <x:v>epidermis, epigenetics</x:v>
      </x:c>
      <x:c r="E30" s="9" t="str"/>
      <x:c r="F30" s="9" t="str">
        <x:v>MedlinePlus: Word Parts and What They Mean</x:v>
      </x:c>
      <x:c r="G30" s="9" t="str">
        <x:v>https://medlineplus.gov/appendixa.html</x:v>
      </x:c>
      <x:c r="H30" s="9" t="str">
        <x:v>Verified</x:v>
      </x:c>
    </x:row>
    <x:row r="31" ht="36" customHeight="1">
      <x:c r="A31" s="8" t="str">
        <x:v>WP-030</x:v>
      </x:c>
      <x:c r="B31" s="9" t="str">
        <x:v>erythro-</x:v>
      </x:c>
      <x:c r="C31" s="9" t="str">
        <x:v>red</x:v>
      </x:c>
      <x:c r="D31" s="9" t="str">
        <x:v>erythrocyte</x:v>
      </x:c>
      <x:c r="E31" s="9" t="str"/>
      <x:c r="F31" s="9" t="str">
        <x:v>MedlinePlus: Word Parts and What They Mean</x:v>
      </x:c>
      <x:c r="G31" s="9" t="str">
        <x:v>https://medlineplus.gov/appendixa.html</x:v>
      </x:c>
      <x:c r="H31" s="9" t="str">
        <x:v>Verified</x:v>
      </x:c>
    </x:row>
    <x:row r="32" ht="36" customHeight="1">
      <x:c r="A32" s="8" t="str">
        <x:v>WP-031</x:v>
      </x:c>
      <x:c r="B32" s="9" t="str">
        <x:v>eu-</x:v>
      </x:c>
      <x:c r="C32" s="9" t="str">
        <x:v>true, good, or normal</x:v>
      </x:c>
      <x:c r="D32" s="9" t="str">
        <x:v>eukaryote, euchromatin</x:v>
      </x:c>
      <x:c r="E32" s="9" t="str"/>
      <x:c r="F32" s="9" t="str">
        <x:v>MedlinePlus: Word Parts and What They Mean</x:v>
      </x:c>
      <x:c r="G32" s="9" t="str">
        <x:v>https://medlineplus.gov/appendixa.html</x:v>
      </x:c>
      <x:c r="H32" s="9" t="str">
        <x:v>Verified</x:v>
      </x:c>
    </x:row>
    <x:row r="33" ht="36" customHeight="1">
      <x:c r="A33" s="8" t="str">
        <x:v>WP-032</x:v>
      </x:c>
      <x:c r="B33" s="9" t="str">
        <x:v>exo-</x:v>
      </x:c>
      <x:c r="C33" s="9" t="str">
        <x:v>outward or external</x:v>
      </x:c>
      <x:c r="D33" s="9" t="str">
        <x:v>exocytosis, exoskeleton</x:v>
      </x:c>
      <x:c r="E33" s="9" t="str">
        <x:v>outside</x:v>
      </x:c>
      <x:c r="F33" s="9" t="str">
        <x:v>MedlinePlus: Word Parts and What They Mean</x:v>
      </x:c>
      <x:c r="G33" s="9" t="str">
        <x:v>https://medlineplus.gov/appendixa.html</x:v>
      </x:c>
      <x:c r="H33" s="9" t="str">
        <x:v>Verified</x:v>
      </x:c>
    </x:row>
    <x:row r="34" ht="36" customHeight="1">
      <x:c r="A34" s="8" t="str">
        <x:v>WP-033</x:v>
      </x:c>
      <x:c r="B34" s="9" t="str">
        <x:v>gastro-</x:v>
      </x:c>
      <x:c r="C34" s="9" t="str">
        <x:v>stomach</x:v>
      </x:c>
      <x:c r="D34" s="9" t="str">
        <x:v>gastric, gastropod</x:v>
      </x:c>
      <x:c r="E34" s="9" t="str"/>
      <x:c r="F34" s="9" t="str">
        <x:v>MedlinePlus: Word Parts and What They Mean</x:v>
      </x:c>
      <x:c r="G34" s="9" t="str">
        <x:v>https://medlineplus.gov/appendixa.html</x:v>
      </x:c>
      <x:c r="H34" s="9" t="str">
        <x:v>Verified</x:v>
      </x:c>
    </x:row>
    <x:row r="35" ht="36" customHeight="1">
      <x:c r="A35" s="8" t="str">
        <x:v>WP-034</x:v>
      </x:c>
      <x:c r="B35" s="9" t="str">
        <x:v>-gen</x:v>
      </x:c>
      <x:c r="C35" s="9" t="str">
        <x:v>a producer or source of formation</x:v>
      </x:c>
      <x:c r="D35" s="9" t="str">
        <x:v>pathogen, mutagen</x:v>
      </x:c>
      <x:c r="E35" s="9" t="str">
        <x:v>formation</x:v>
      </x:c>
      <x:c r="F35" s="9" t="str">
        <x:v>MedlinePlus: Word Parts and What They Mean</x:v>
      </x:c>
      <x:c r="G35" s="9" t="str">
        <x:v>https://medlineplus.gov/appendixa.html</x:v>
      </x:c>
      <x:c r="H35" s="9" t="str">
        <x:v>Verified</x:v>
      </x:c>
    </x:row>
    <x:row r="36" ht="36" customHeight="1">
      <x:c r="A36" s="8" t="str">
        <x:v>WP-035</x:v>
      </x:c>
      <x:c r="B36" s="9" t="str">
        <x:v>-genesis</x:v>
      </x:c>
      <x:c r="C36" s="9" t="str">
        <x:v>formation or origin</x:v>
      </x:c>
      <x:c r="D36" s="9" t="str">
        <x:v>oogenesis, biogenesis</x:v>
      </x:c>
      <x:c r="E36" s="9" t="str">
        <x:v>formation</x:v>
      </x:c>
      <x:c r="F36" s="9" t="str">
        <x:v>MedlinePlus: Word Parts and What They Mean</x:v>
      </x:c>
      <x:c r="G36" s="9" t="str">
        <x:v>https://medlineplus.gov/appendixa.html</x:v>
      </x:c>
      <x:c r="H36" s="9" t="str">
        <x:v>Verified</x:v>
      </x:c>
    </x:row>
    <x:row r="37" ht="36" customHeight="1">
      <x:c r="A37" s="8" t="str">
        <x:v>WP-036</x:v>
      </x:c>
      <x:c r="B37" s="9" t="str">
        <x:v>glyco-</x:v>
      </x:c>
      <x:c r="C37" s="9" t="str">
        <x:v>sugar or carbohydrate</x:v>
      </x:c>
      <x:c r="D37" s="9" t="str">
        <x:v>glycolysis, glycogen</x:v>
      </x:c>
      <x:c r="E37" s="9" t="str">
        <x:v>sugar</x:v>
      </x:c>
      <x:c r="F37" s="9" t="str">
        <x:v>MedlinePlus: Word Parts and What They Mean</x:v>
      </x:c>
      <x:c r="G37" s="9" t="str">
        <x:v>https://medlineplus.gov/appendixa.html</x:v>
      </x:c>
      <x:c r="H37" s="9" t="str">
        <x:v>Verified</x:v>
      </x:c>
    </x:row>
    <x:row r="38" ht="36" customHeight="1">
      <x:c r="A38" s="8" t="str">
        <x:v>WP-037</x:v>
      </x:c>
      <x:c r="B38" s="9" t="str">
        <x:v>sacchar-</x:v>
      </x:c>
      <x:c r="C38" s="9" t="str">
        <x:v>sugar</x:v>
      </x:c>
      <x:c r="D38" s="9" t="str">
        <x:v>monosaccharide, polysaccharide</x:v>
      </x:c>
      <x:c r="E38" s="9" t="str">
        <x:v>sugar</x:v>
      </x:c>
      <x:c r="F38" s="9" t="str">
        <x:v>MedlinePlus: Word Parts and What They Mean</x:v>
      </x:c>
      <x:c r="G38" s="9" t="str">
        <x:v>https://medlineplus.gov/appendixa.html</x:v>
      </x:c>
      <x:c r="H38" s="9" t="str">
        <x:v>Verified</x:v>
      </x:c>
    </x:row>
    <x:row r="39" ht="36" customHeight="1">
      <x:c r="A39" s="8" t="str">
        <x:v>WP-038</x:v>
      </x:c>
      <x:c r="B39" s="9" t="str">
        <x:v>hemo-</x:v>
      </x:c>
      <x:c r="C39" s="9" t="str">
        <x:v>blood</x:v>
      </x:c>
      <x:c r="D39" s="9" t="str">
        <x:v>hemoglobin, hemolysis</x:v>
      </x:c>
      <x:c r="E39" s="9" t="str">
        <x:v>blood</x:v>
      </x:c>
      <x:c r="F39" s="9" t="str">
        <x:v>MedlinePlus: Word Parts and What They Mean</x:v>
      </x:c>
      <x:c r="G39" s="9" t="str">
        <x:v>https://medlineplus.gov/appendixa.html</x:v>
      </x:c>
      <x:c r="H39" s="9" t="str">
        <x:v>Verified</x:v>
      </x:c>
    </x:row>
    <x:row r="40" ht="36" customHeight="1">
      <x:c r="A40" s="8" t="str">
        <x:v>WP-039</x:v>
      </x:c>
      <x:c r="B40" s="9" t="str">
        <x:v>hemato-</x:v>
      </x:c>
      <x:c r="C40" s="9" t="str">
        <x:v>blood or blood tissue</x:v>
      </x:c>
      <x:c r="D40" s="9" t="str">
        <x:v>hematology, hematopoiesis</x:v>
      </x:c>
      <x:c r="E40" s="9" t="str">
        <x:v>blood</x:v>
      </x:c>
      <x:c r="F40" s="9" t="str">
        <x:v>MedlinePlus: Word Parts and What They Mean</x:v>
      </x:c>
      <x:c r="G40" s="9" t="str">
        <x:v>https://medlineplus.gov/appendixa.html</x:v>
      </x:c>
      <x:c r="H40" s="9" t="str">
        <x:v>Verified</x:v>
      </x:c>
    </x:row>
    <x:row r="41" ht="36" customHeight="1">
      <x:c r="A41" s="8" t="str">
        <x:v>WP-040</x:v>
      </x:c>
      <x:c r="B41" s="9" t="str">
        <x:v>hepato-</x:v>
      </x:c>
      <x:c r="C41" s="9" t="str">
        <x:v>liver</x:v>
      </x:c>
      <x:c r="D41" s="9" t="str">
        <x:v>hepatocyte</x:v>
      </x:c>
      <x:c r="E41" s="9" t="str"/>
      <x:c r="F41" s="9" t="str">
        <x:v>MedlinePlus: Word Parts and What They Mean</x:v>
      </x:c>
      <x:c r="G41" s="9" t="str">
        <x:v>https://medlineplus.gov/appendixa.html</x:v>
      </x:c>
      <x:c r="H41" s="9" t="str">
        <x:v>Verified</x:v>
      </x:c>
    </x:row>
    <x:row r="42" ht="36" customHeight="1">
      <x:c r="A42" s="8" t="str">
        <x:v>WP-041</x:v>
      </x:c>
      <x:c r="B42" s="9" t="str">
        <x:v>hetero-</x:v>
      </x:c>
      <x:c r="C42" s="9" t="str">
        <x:v>different</x:v>
      </x:c>
      <x:c r="D42" s="9" t="str">
        <x:v>heterozygous, heterotroph</x:v>
      </x:c>
      <x:c r="E42" s="9" t="str"/>
      <x:c r="F42" s="9" t="str">
        <x:v>MedlinePlus: Word Parts and What They Mean</x:v>
      </x:c>
      <x:c r="G42" s="9" t="str">
        <x:v>https://medlineplus.gov/appendixa.html</x:v>
      </x:c>
      <x:c r="H42" s="9" t="str">
        <x:v>Verified</x:v>
      </x:c>
    </x:row>
    <x:row r="43" ht="36" customHeight="1">
      <x:c r="A43" s="8" t="str">
        <x:v>WP-042</x:v>
      </x:c>
      <x:c r="B43" s="9" t="str">
        <x:v>histo-</x:v>
      </x:c>
      <x:c r="C43" s="9" t="str">
        <x:v>tissue</x:v>
      </x:c>
      <x:c r="D43" s="9" t="str">
        <x:v>histology</x:v>
      </x:c>
      <x:c r="E43" s="9" t="str"/>
      <x:c r="F43" s="9" t="str">
        <x:v>MedlinePlus: Word Parts and What They Mean</x:v>
      </x:c>
      <x:c r="G43" s="9" t="str">
        <x:v>https://medlineplus.gov/appendixa.html</x:v>
      </x:c>
      <x:c r="H43" s="9" t="str">
        <x:v>Verified</x:v>
      </x:c>
    </x:row>
    <x:row r="44" ht="36" customHeight="1">
      <x:c r="A44" s="8" t="str">
        <x:v>WP-043</x:v>
      </x:c>
      <x:c r="B44" s="9" t="str">
        <x:v>homeo-</x:v>
      </x:c>
      <x:c r="C44" s="9" t="str">
        <x:v>similar or maintained in a stable state</x:v>
      </x:c>
      <x:c r="D44" s="9" t="str">
        <x:v>homeostasis</x:v>
      </x:c>
      <x:c r="E44" s="9" t="str">
        <x:v>same</x:v>
      </x:c>
      <x:c r="F44" s="9" t="str">
        <x:v>MedlinePlus: Word Parts and What They Mean</x:v>
      </x:c>
      <x:c r="G44" s="9" t="str">
        <x:v>https://medlineplus.gov/appendixa.html</x:v>
      </x:c>
      <x:c r="H44" s="9" t="str">
        <x:v>Verified</x:v>
      </x:c>
    </x:row>
    <x:row r="45" ht="36" customHeight="1">
      <x:c r="A45" s="8" t="str">
        <x:v>WP-044</x:v>
      </x:c>
      <x:c r="B45" s="9" t="str">
        <x:v>homo-</x:v>
      </x:c>
      <x:c r="C45" s="9" t="str">
        <x:v>same</x:v>
      </x:c>
      <x:c r="D45" s="9" t="str">
        <x:v>homozygous, homologous</x:v>
      </x:c>
      <x:c r="E45" s="9" t="str">
        <x:v>same</x:v>
      </x:c>
      <x:c r="F45" s="9" t="str">
        <x:v>MedlinePlus: Word Parts and What They Mean</x:v>
      </x:c>
      <x:c r="G45" s="9" t="str">
        <x:v>https://medlineplus.gov/appendixa.html</x:v>
      </x:c>
      <x:c r="H45" s="9" t="str">
        <x:v>Verified</x:v>
      </x:c>
    </x:row>
    <x:row r="46" ht="36" customHeight="1">
      <x:c r="A46" s="8" t="str">
        <x:v>WP-045</x:v>
      </x:c>
      <x:c r="B46" s="9" t="str">
        <x:v>hydro-</x:v>
      </x:c>
      <x:c r="C46" s="9" t="str">
        <x:v>water</x:v>
      </x:c>
      <x:c r="D46" s="9" t="str">
        <x:v>hydrolysis, hydrophilic</x:v>
      </x:c>
      <x:c r="E46" s="9" t="str"/>
      <x:c r="F46" s="9" t="str">
        <x:v>MedlinePlus: Word Parts and What They Mean</x:v>
      </x:c>
      <x:c r="G46" s="9" t="str">
        <x:v>https://medlineplus.gov/appendixa.html</x:v>
      </x:c>
      <x:c r="H46" s="9" t="str">
        <x:v>Verified</x:v>
      </x:c>
    </x:row>
    <x:row r="47" ht="36" customHeight="1">
      <x:c r="A47" s="8" t="str">
        <x:v>WP-046</x:v>
      </x:c>
      <x:c r="B47" s="9" t="str">
        <x:v>hyper-</x:v>
      </x:c>
      <x:c r="C47" s="9" t="str">
        <x:v>above normal or excessive</x:v>
      </x:c>
      <x:c r="D47" s="9" t="str">
        <x:v>hypertonic, hyperpolarization</x:v>
      </x:c>
      <x:c r="E47" s="9" t="str"/>
      <x:c r="F47" s="9" t="str">
        <x:v>MedlinePlus: Word Parts and What They Mean</x:v>
      </x:c>
      <x:c r="G47" s="9" t="str">
        <x:v>https://medlineplus.gov/appendixa.html</x:v>
      </x:c>
      <x:c r="H47" s="9" t="str">
        <x:v>Verified</x:v>
      </x:c>
    </x:row>
    <x:row r="48" ht="36" customHeight="1">
      <x:c r="A48" s="8" t="str">
        <x:v>WP-047</x:v>
      </x:c>
      <x:c r="B48" s="9" t="str">
        <x:v>hypo-</x:v>
      </x:c>
      <x:c r="C48" s="9" t="str">
        <x:v>below normal or deficient</x:v>
      </x:c>
      <x:c r="D48" s="9" t="str">
        <x:v>hypotonic, hypoxia</x:v>
      </x:c>
      <x:c r="E48" s="9" t="str"/>
      <x:c r="F48" s="9" t="str">
        <x:v>MedlinePlus: Word Parts and What They Mean</x:v>
      </x:c>
      <x:c r="G48" s="9" t="str">
        <x:v>https://medlineplus.gov/appendixa.html</x:v>
      </x:c>
      <x:c r="H48" s="9" t="str">
        <x:v>Verified</x:v>
      </x:c>
    </x:row>
    <x:row r="49" ht="36" customHeight="1">
      <x:c r="A49" s="8" t="str">
        <x:v>WP-048</x:v>
      </x:c>
      <x:c r="B49" s="9" t="str">
        <x:v>inter-</x:v>
      </x:c>
      <x:c r="C49" s="9" t="str">
        <x:v>between</x:v>
      </x:c>
      <x:c r="D49" s="9" t="str">
        <x:v>interphase, interspecific</x:v>
      </x:c>
      <x:c r="E49" s="9" t="str">
        <x:v>between</x:v>
      </x:c>
      <x:c r="F49" s="9" t="str">
        <x:v>MedlinePlus: Word Parts and What They Mean</x:v>
      </x:c>
      <x:c r="G49" s="9" t="str">
        <x:v>https://medlineplus.gov/appendixa.html</x:v>
      </x:c>
      <x:c r="H49" s="9" t="str">
        <x:v>Verified</x:v>
      </x:c>
    </x:row>
    <x:row r="50" ht="36" customHeight="1">
      <x:c r="A50" s="8" t="str">
        <x:v>WP-049</x:v>
      </x:c>
      <x:c r="B50" s="9" t="str">
        <x:v>intra-</x:v>
      </x:c>
      <x:c r="C50" s="9" t="str">
        <x:v>within</x:v>
      </x:c>
      <x:c r="D50" s="9" t="str">
        <x:v>intracellular, intraspecific</x:v>
      </x:c>
      <x:c r="E50" s="9" t="str">
        <x:v>inside</x:v>
      </x:c>
      <x:c r="F50" s="9" t="str">
        <x:v>MedlinePlus: Word Parts and What They Mean</x:v>
      </x:c>
      <x:c r="G50" s="9" t="str">
        <x:v>https://medlineplus.gov/appendixa.html</x:v>
      </x:c>
      <x:c r="H50" s="9" t="str">
        <x:v>Verified</x:v>
      </x:c>
    </x:row>
    <x:row r="51" ht="36" customHeight="1">
      <x:c r="A51" s="8" t="str">
        <x:v>WP-050</x:v>
      </x:c>
      <x:c r="B51" s="9" t="str">
        <x:v>iso-</x:v>
      </x:c>
      <x:c r="C51" s="9" t="str">
        <x:v>equal or the same</x:v>
      </x:c>
      <x:c r="D51" s="9" t="str">
        <x:v>isotonic, isotope</x:v>
      </x:c>
      <x:c r="E51" s="9" t="str">
        <x:v>same</x:v>
      </x:c>
      <x:c r="F51" s="9" t="str">
        <x:v>MedlinePlus: Word Parts and What They Mean</x:v>
      </x:c>
      <x:c r="G51" s="9" t="str">
        <x:v>https://medlineplus.gov/appendixa.html</x:v>
      </x:c>
      <x:c r="H51" s="9" t="str">
        <x:v>Verified</x:v>
      </x:c>
    </x:row>
    <x:row r="52" ht="36" customHeight="1">
      <x:c r="A52" s="8" t="str">
        <x:v>WP-051</x:v>
      </x:c>
      <x:c r="B52" s="9" t="str">
        <x:v>karyo-</x:v>
      </x:c>
      <x:c r="C52" s="9" t="str">
        <x:v>nucleus</x:v>
      </x:c>
      <x:c r="D52" s="9" t="str">
        <x:v>eukaryote, prokaryote</x:v>
      </x:c>
      <x:c r="E52" s="9" t="str">
        <x:v>nucleus</x:v>
      </x:c>
      <x:c r="F52" s="9" t="str">
        <x:v>MedlinePlus: Word Parts and What They Mean</x:v>
      </x:c>
      <x:c r="G52" s="9" t="str">
        <x:v>https://medlineplus.gov/appendixa.html</x:v>
      </x:c>
      <x:c r="H52" s="9" t="str">
        <x:v>Verified</x:v>
      </x:c>
    </x:row>
    <x:row r="53" ht="36" customHeight="1">
      <x:c r="A53" s="8" t="str">
        <x:v>WP-052</x:v>
      </x:c>
      <x:c r="B53" s="9" t="str">
        <x:v>leuko-</x:v>
      </x:c>
      <x:c r="C53" s="9" t="str">
        <x:v>white</x:v>
      </x:c>
      <x:c r="D53" s="9" t="str">
        <x:v>leukocyte</x:v>
      </x:c>
      <x:c r="E53" s="9" t="str">
        <x:v>white</x:v>
      </x:c>
      <x:c r="F53" s="9" t="str">
        <x:v>MedlinePlus: Word Parts and What They Mean</x:v>
      </x:c>
      <x:c r="G53" s="9" t="str">
        <x:v>https://medlineplus.gov/appendixa.html</x:v>
      </x:c>
      <x:c r="H53" s="9" t="str">
        <x:v>Verified</x:v>
      </x:c>
    </x:row>
    <x:row r="54" ht="36" customHeight="1">
      <x:c r="A54" s="8" t="str">
        <x:v>WP-053</x:v>
      </x:c>
      <x:c r="B54" s="9" t="str">
        <x:v>lipo-</x:v>
      </x:c>
      <x:c r="C54" s="9" t="str">
        <x:v>fat or lipid</x:v>
      </x:c>
      <x:c r="D54" s="9" t="str">
        <x:v>lipoprotein, lipolysis</x:v>
      </x:c>
      <x:c r="E54" s="9" t="str">
        <x:v>fat</x:v>
      </x:c>
      <x:c r="F54" s="9" t="str">
        <x:v>MedlinePlus: Word Parts and What They Mean</x:v>
      </x:c>
      <x:c r="G54" s="9" t="str">
        <x:v>https://medlineplus.gov/appendixa.html</x:v>
      </x:c>
      <x:c r="H54" s="9" t="str">
        <x:v>Verified</x:v>
      </x:c>
    </x:row>
    <x:row r="55" ht="36" customHeight="1">
      <x:c r="A55" s="8" t="str">
        <x:v>WP-054</x:v>
      </x:c>
      <x:c r="B55" s="9" t="str">
        <x:v>-lysis</x:v>
      </x:c>
      <x:c r="C55" s="9" t="str">
        <x:v>splitting, loosening, or breakdown</x:v>
      </x:c>
      <x:c r="D55" s="9" t="str">
        <x:v>hydrolysis, glycolysis</x:v>
      </x:c>
      <x:c r="E55" s="9" t="str"/>
      <x:c r="F55" s="9" t="str">
        <x:v>MedlinePlus: Word Parts and What They Mean</x:v>
      </x:c>
      <x:c r="G55" s="9" t="str">
        <x:v>https://medlineplus.gov/appendixa.html</x:v>
      </x:c>
      <x:c r="H55" s="9" t="str">
        <x:v>Verified</x:v>
      </x:c>
    </x:row>
    <x:row r="56" ht="36" customHeight="1">
      <x:c r="A56" s="8" t="str">
        <x:v>WP-055</x:v>
      </x:c>
      <x:c r="B56" s="9" t="str">
        <x:v>macro-</x:v>
      </x:c>
      <x:c r="C56" s="9" t="str">
        <x:v>large</x:v>
      </x:c>
      <x:c r="D56" s="9" t="str">
        <x:v>macromolecule, macrophage</x:v>
      </x:c>
      <x:c r="E56" s="9" t="str"/>
      <x:c r="F56" s="9" t="str">
        <x:v>MedlinePlus: Word Parts and What They Mean</x:v>
      </x:c>
      <x:c r="G56" s="9" t="str">
        <x:v>https://medlineplus.gov/appendixa.html</x:v>
      </x:c>
      <x:c r="H56" s="9" t="str">
        <x:v>Verified</x:v>
      </x:c>
    </x:row>
    <x:row r="57" ht="36" customHeight="1">
      <x:c r="A57" s="8" t="str">
        <x:v>WP-056</x:v>
      </x:c>
      <x:c r="B57" s="9" t="str">
        <x:v>-mere</x:v>
      </x:c>
      <x:c r="C57" s="9" t="str">
        <x:v>part, segment, or unit</x:v>
      </x:c>
      <x:c r="D57" s="9" t="str">
        <x:v>centromere, telomere</x:v>
      </x:c>
      <x:c r="E57" s="9" t="str"/>
      <x:c r="F57" s="9" t="str">
        <x:v>MedlinePlus: Word Parts and What They Mean</x:v>
      </x:c>
      <x:c r="G57" s="9" t="str">
        <x:v>https://medlineplus.gov/appendixa.html</x:v>
      </x:c>
      <x:c r="H57" s="9" t="str">
        <x:v>Verified</x:v>
      </x:c>
    </x:row>
    <x:row r="58" ht="36" customHeight="1">
      <x:c r="A58" s="8" t="str">
        <x:v>WP-057</x:v>
      </x:c>
      <x:c r="B58" s="9" t="str">
        <x:v>meso-</x:v>
      </x:c>
      <x:c r="C58" s="9" t="str">
        <x:v>middle</x:v>
      </x:c>
      <x:c r="D58" s="9" t="str">
        <x:v>mesoderm, mesophyll</x:v>
      </x:c>
      <x:c r="E58" s="9" t="str">
        <x:v>between</x:v>
      </x:c>
      <x:c r="F58" s="9" t="str">
        <x:v>MedlinePlus: Word Parts and What They Mean</x:v>
      </x:c>
      <x:c r="G58" s="9" t="str">
        <x:v>https://medlineplus.gov/appendixa.html</x:v>
      </x:c>
      <x:c r="H58" s="9" t="str">
        <x:v>Verified</x:v>
      </x:c>
    </x:row>
    <x:row r="59" ht="36" customHeight="1">
      <x:c r="A59" s="8" t="str">
        <x:v>WP-058</x:v>
      </x:c>
      <x:c r="B59" s="9" t="str">
        <x:v>meta-</x:v>
      </x:c>
      <x:c r="C59" s="9" t="str">
        <x:v>change, beyond, or after</x:v>
      </x:c>
      <x:c r="D59" s="9" t="str">
        <x:v>metabolism, metaphase</x:v>
      </x:c>
      <x:c r="E59" s="9" t="str">
        <x:v>after</x:v>
      </x:c>
      <x:c r="F59" s="9" t="str">
        <x:v>MedlinePlus: Word Parts and What They Mean</x:v>
      </x:c>
      <x:c r="G59" s="9" t="str">
        <x:v>https://medlineplus.gov/appendixa.html</x:v>
      </x:c>
      <x:c r="H59" s="9" t="str">
        <x:v>Verified</x:v>
      </x:c>
    </x:row>
    <x:row r="60" ht="36" customHeight="1">
      <x:c r="A60" s="8" t="str">
        <x:v>WP-059</x:v>
      </x:c>
      <x:c r="B60" s="9" t="str">
        <x:v>micro-</x:v>
      </x:c>
      <x:c r="C60" s="9" t="str">
        <x:v>small</x:v>
      </x:c>
      <x:c r="D60" s="9" t="str">
        <x:v>microscope, microevolution</x:v>
      </x:c>
      <x:c r="E60" s="9" t="str"/>
      <x:c r="F60" s="9" t="str">
        <x:v>MedlinePlus: Word Parts and What They Mean</x:v>
      </x:c>
      <x:c r="G60" s="9" t="str">
        <x:v>https://medlineplus.gov/appendixa.html</x:v>
      </x:c>
      <x:c r="H60" s="9" t="str">
        <x:v>Verified</x:v>
      </x:c>
    </x:row>
    <x:row r="61" ht="36" customHeight="1">
      <x:c r="A61" s="8" t="str">
        <x:v>WP-060</x:v>
      </x:c>
      <x:c r="B61" s="9" t="str">
        <x:v>mono-</x:v>
      </x:c>
      <x:c r="C61" s="9" t="str">
        <x:v>one or single</x:v>
      </x:c>
      <x:c r="D61" s="9" t="str">
        <x:v>monosaccharide, monohybrid</x:v>
      </x:c>
      <x:c r="E61" s="9" t="str"/>
      <x:c r="F61" s="9" t="str">
        <x:v>MedlinePlus: Word Parts and What They Mean</x:v>
      </x:c>
      <x:c r="G61" s="9" t="str">
        <x:v>https://medlineplus.gov/appendixa.html</x:v>
      </x:c>
      <x:c r="H61" s="9" t="str">
        <x:v>Verified</x:v>
      </x:c>
    </x:row>
    <x:row r="62" ht="36" customHeight="1">
      <x:c r="A62" s="8" t="str">
        <x:v>WP-061</x:v>
      </x:c>
      <x:c r="B62" s="9" t="str">
        <x:v>morph-</x:v>
      </x:c>
      <x:c r="C62" s="9" t="str">
        <x:v>form or shape</x:v>
      </x:c>
      <x:c r="D62" s="9" t="str">
        <x:v>morphology, polymorphism</x:v>
      </x:c>
      <x:c r="E62" s="9" t="str">
        <x:v>shape</x:v>
      </x:c>
      <x:c r="F62" s="9" t="str">
        <x:v>MedlinePlus: Word Parts and What They Mean</x:v>
      </x:c>
      <x:c r="G62" s="9" t="str">
        <x:v>https://medlineplus.gov/appendixa.html</x:v>
      </x:c>
      <x:c r="H62" s="9" t="str">
        <x:v>Verified</x:v>
      </x:c>
    </x:row>
    <x:row r="63" ht="36" customHeight="1">
      <x:c r="A63" s="8" t="str">
        <x:v>WP-062</x:v>
      </x:c>
      <x:c r="B63" s="9" t="str">
        <x:v>myco-</x:v>
      </x:c>
      <x:c r="C63" s="9" t="str">
        <x:v>fungus</x:v>
      </x:c>
      <x:c r="D63" s="9" t="str">
        <x:v>mycorrhiza, mycology</x:v>
      </x:c>
      <x:c r="E63" s="9" t="str"/>
      <x:c r="F63" s="9" t="str">
        <x:v>MedlinePlus: Word Parts and What They Mean</x:v>
      </x:c>
      <x:c r="G63" s="9" t="str">
        <x:v>https://medlineplus.gov/appendixa.html</x:v>
      </x:c>
      <x:c r="H63" s="9" t="str">
        <x:v>Verified</x:v>
      </x:c>
    </x:row>
    <x:row r="64" ht="36" customHeight="1">
      <x:c r="A64" s="8" t="str">
        <x:v>WP-063</x:v>
      </x:c>
      <x:c r="B64" s="9" t="str">
        <x:v>myo-</x:v>
      </x:c>
      <x:c r="C64" s="9" t="str">
        <x:v>muscle</x:v>
      </x:c>
      <x:c r="D64" s="9" t="str">
        <x:v>myofibril, myosin</x:v>
      </x:c>
      <x:c r="E64" s="9" t="str"/>
      <x:c r="F64" s="9" t="str">
        <x:v>MedlinePlus: Word Parts and What They Mean</x:v>
      </x:c>
      <x:c r="G64" s="9" t="str">
        <x:v>https://medlineplus.gov/appendixa.html</x:v>
      </x:c>
      <x:c r="H64" s="9" t="str">
        <x:v>Verified</x:v>
      </x:c>
    </x:row>
    <x:row r="65" ht="36" customHeight="1">
      <x:c r="A65" s="8" t="str">
        <x:v>WP-064</x:v>
      </x:c>
      <x:c r="B65" s="9" t="str">
        <x:v>necro-</x:v>
      </x:c>
      <x:c r="C65" s="9" t="str">
        <x:v>death</x:v>
      </x:c>
      <x:c r="D65" s="9" t="str">
        <x:v>necrosis</x:v>
      </x:c>
      <x:c r="E65" s="9" t="str"/>
      <x:c r="F65" s="9" t="str">
        <x:v>MedlinePlus: Word Parts and What They Mean</x:v>
      </x:c>
      <x:c r="G65" s="9" t="str">
        <x:v>https://medlineplus.gov/appendixa.html</x:v>
      </x:c>
      <x:c r="H65" s="9" t="str">
        <x:v>Verified</x:v>
      </x:c>
    </x:row>
    <x:row r="66" ht="36" customHeight="1">
      <x:c r="A66" s="8" t="str">
        <x:v>WP-065</x:v>
      </x:c>
      <x:c r="B66" s="9" t="str">
        <x:v>nephro-</x:v>
      </x:c>
      <x:c r="C66" s="9" t="str">
        <x:v>kidney</x:v>
      </x:c>
      <x:c r="D66" s="9" t="str">
        <x:v>nephron, nephrology</x:v>
      </x:c>
      <x:c r="E66" s="9" t="str"/>
      <x:c r="F66" s="9" t="str">
        <x:v>MedlinePlus: Word Parts and What They Mean</x:v>
      </x:c>
      <x:c r="G66" s="9" t="str">
        <x:v>https://medlineplus.gov/appendixa.html</x:v>
      </x:c>
      <x:c r="H66" s="9" t="str">
        <x:v>Verified</x:v>
      </x:c>
    </x:row>
    <x:row r="67" ht="36" customHeight="1">
      <x:c r="A67" s="8" t="str">
        <x:v>WP-066</x:v>
      </x:c>
      <x:c r="B67" s="9" t="str">
        <x:v>neuro-</x:v>
      </x:c>
      <x:c r="C67" s="9" t="str">
        <x:v>nerve or nervous system</x:v>
      </x:c>
      <x:c r="D67" s="9" t="str">
        <x:v>neuron, neurotransmitter</x:v>
      </x:c>
      <x:c r="E67" s="9" t="str"/>
      <x:c r="F67" s="9" t="str">
        <x:v>MedlinePlus: Word Parts and What They Mean</x:v>
      </x:c>
      <x:c r="G67" s="9" t="str">
        <x:v>https://medlineplus.gov/appendixa.html</x:v>
      </x:c>
      <x:c r="H67" s="9" t="str">
        <x:v>Verified</x:v>
      </x:c>
    </x:row>
    <x:row r="68" ht="36" customHeight="1">
      <x:c r="A68" s="8" t="str">
        <x:v>WP-067</x:v>
      </x:c>
      <x:c r="B68" s="9" t="str">
        <x:v>nucleo-</x:v>
      </x:c>
      <x:c r="C68" s="9" t="str">
        <x:v>nucleus or nucleic material</x:v>
      </x:c>
      <x:c r="D68" s="9" t="str">
        <x:v>nucleotide, nucleolus</x:v>
      </x:c>
      <x:c r="E68" s="9" t="str">
        <x:v>nucleus</x:v>
      </x:c>
      <x:c r="F68" s="9" t="str">
        <x:v>MedlinePlus: Word Parts and What They Mean</x:v>
      </x:c>
      <x:c r="G68" s="9" t="str">
        <x:v>https://medlineplus.gov/appendixa.html</x:v>
      </x:c>
      <x:c r="H68" s="9" t="str">
        <x:v>Verified</x:v>
      </x:c>
    </x:row>
    <x:row r="69" ht="36" customHeight="1">
      <x:c r="A69" s="8" t="str">
        <x:v>WP-068</x:v>
      </x:c>
      <x:c r="B69" s="9" t="str">
        <x:v>oligo-</x:v>
      </x:c>
      <x:c r="C69" s="9" t="str">
        <x:v>few or scant</x:v>
      </x:c>
      <x:c r="D69" s="9" t="str">
        <x:v>oligosaccharide</x:v>
      </x:c>
      <x:c r="E69" s="9" t="str"/>
      <x:c r="F69" s="9" t="str">
        <x:v>MedlinePlus: Word Parts and What They Mean</x:v>
      </x:c>
      <x:c r="G69" s="9" t="str">
        <x:v>https://medlineplus.gov/appendixa.html</x:v>
      </x:c>
      <x:c r="H69" s="9" t="str">
        <x:v>Verified</x:v>
      </x:c>
    </x:row>
    <x:row r="70" ht="36" customHeight="1">
      <x:c r="A70" s="8" t="str">
        <x:v>WP-069</x:v>
      </x:c>
      <x:c r="B70" s="9" t="str">
        <x:v>onc-</x:v>
      </x:c>
      <x:c r="C70" s="9" t="str">
        <x:v>tumor</x:v>
      </x:c>
      <x:c r="D70" s="9" t="str">
        <x:v>oncogene, oncology</x:v>
      </x:c>
      <x:c r="E70" s="9" t="str">
        <x:v>tumor</x:v>
      </x:c>
      <x:c r="F70" s="9" t="str">
        <x:v>MedlinePlus: Word Parts and What They Mean</x:v>
      </x:c>
      <x:c r="G70" s="9" t="str">
        <x:v>https://medlineplus.gov/appendixa.html</x:v>
      </x:c>
      <x:c r="H70" s="9" t="str">
        <x:v>Verified</x:v>
      </x:c>
    </x:row>
    <x:row r="71" ht="36" customHeight="1">
      <x:c r="A71" s="8" t="str">
        <x:v>WP-070</x:v>
      </x:c>
      <x:c r="B71" s="9" t="str">
        <x:v>-oma</x:v>
      </x:c>
      <x:c r="C71" s="9" t="str">
        <x:v>mass or tumor</x:v>
      </x:c>
      <x:c r="D71" s="9" t="str">
        <x:v>lymphoma, carcinoma</x:v>
      </x:c>
      <x:c r="E71" s="9" t="str">
        <x:v>tumor</x:v>
      </x:c>
      <x:c r="F71" s="9" t="str">
        <x:v>MedlinePlus: Word Parts and What They Mean</x:v>
      </x:c>
      <x:c r="G71" s="9" t="str">
        <x:v>https://medlineplus.gov/appendixa.html</x:v>
      </x:c>
      <x:c r="H71" s="9" t="str">
        <x:v>Verified</x:v>
      </x:c>
    </x:row>
    <x:row r="72" ht="36" customHeight="1">
      <x:c r="A72" s="8" t="str">
        <x:v>WP-071</x:v>
      </x:c>
      <x:c r="B72" s="9" t="str">
        <x:v>oo-</x:v>
      </x:c>
      <x:c r="C72" s="9" t="str">
        <x:v>egg</x:v>
      </x:c>
      <x:c r="D72" s="9" t="str">
        <x:v>oocyte, oogenesis</x:v>
      </x:c>
      <x:c r="E72" s="9" t="str"/>
      <x:c r="F72" s="9" t="str">
        <x:v>MedlinePlus: Word Parts and What They Mean</x:v>
      </x:c>
      <x:c r="G72" s="9" t="str">
        <x:v>https://medlineplus.gov/appendixa.html</x:v>
      </x:c>
      <x:c r="H72" s="9" t="str">
        <x:v>Verified</x:v>
      </x:c>
    </x:row>
    <x:row r="73" ht="36" customHeight="1">
      <x:c r="A73" s="8" t="str">
        <x:v>WP-072</x:v>
      </x:c>
      <x:c r="B73" s="9" t="str">
        <x:v>osteo-</x:v>
      </x:c>
      <x:c r="C73" s="9" t="str">
        <x:v>bone</x:v>
      </x:c>
      <x:c r="D73" s="9" t="str">
        <x:v>osteocyte, osteoporosis</x:v>
      </x:c>
      <x:c r="E73" s="9" t="str"/>
      <x:c r="F73" s="9" t="str">
        <x:v>MedlinePlus: Word Parts and What They Mean</x:v>
      </x:c>
      <x:c r="G73" s="9" t="str">
        <x:v>https://medlineplus.gov/appendixa.html</x:v>
      </x:c>
      <x:c r="H73" s="9" t="str">
        <x:v>Verified</x:v>
      </x:c>
    </x:row>
    <x:row r="74" ht="36" customHeight="1">
      <x:c r="A74" s="8" t="str">
        <x:v>WP-073</x:v>
      </x:c>
      <x:c r="B74" s="9" t="str">
        <x:v>-osis</x:v>
      </x:c>
      <x:c r="C74" s="9" t="str">
        <x:v>condition or process</x:v>
      </x:c>
      <x:c r="D74" s="9" t="str">
        <x:v>osmosis, mitosis</x:v>
      </x:c>
      <x:c r="E74" s="9" t="str"/>
      <x:c r="F74" s="9" t="str">
        <x:v>MedlinePlus: Word Parts and What They Mean</x:v>
      </x:c>
      <x:c r="G74" s="9" t="str">
        <x:v>https://medlineplus.gov/appendixa.html</x:v>
      </x:c>
      <x:c r="H74" s="9" t="str">
        <x:v>Verified</x:v>
      </x:c>
    </x:row>
    <x:row r="75" ht="36" customHeight="1">
      <x:c r="A75" s="8" t="str">
        <x:v>WP-074</x:v>
      </x:c>
      <x:c r="B75" s="9" t="str">
        <x:v>photo-</x:v>
      </x:c>
      <x:c r="C75" s="9" t="str">
        <x:v>light</x:v>
      </x:c>
      <x:c r="D75" s="9" t="str">
        <x:v>photosynthesis, photolysis</x:v>
      </x:c>
      <x:c r="E75" s="9" t="str"/>
      <x:c r="F75" s="9" t="str">
        <x:v>MedlinePlus: Word Parts and What They Mean</x:v>
      </x:c>
      <x:c r="G75" s="9" t="str">
        <x:v>https://medlineplus.gov/appendixa.html</x:v>
      </x:c>
      <x:c r="H75" s="9" t="str">
        <x:v>Verified</x:v>
      </x:c>
    </x:row>
    <x:row r="76" ht="36" customHeight="1">
      <x:c r="A76" s="8" t="str">
        <x:v>WP-075</x:v>
      </x:c>
      <x:c r="B76" s="9" t="str">
        <x:v>phago-</x:v>
      </x:c>
      <x:c r="C76" s="9" t="str">
        <x:v>eat or engulf</x:v>
      </x:c>
      <x:c r="D76" s="9" t="str">
        <x:v>phagocyte, phagocytosis</x:v>
      </x:c>
      <x:c r="E76" s="9" t="str"/>
      <x:c r="F76" s="9" t="str">
        <x:v>MedlinePlus: Word Parts and What They Mean</x:v>
      </x:c>
      <x:c r="G76" s="9" t="str">
        <x:v>https://medlineplus.gov/appendixa.html</x:v>
      </x:c>
      <x:c r="H76" s="9" t="str">
        <x:v>Verified</x:v>
      </x:c>
    </x:row>
    <x:row r="77" ht="36" customHeight="1">
      <x:c r="A77" s="8" t="str">
        <x:v>WP-076</x:v>
      </x:c>
      <x:c r="B77" s="9" t="str">
        <x:v>-philic</x:v>
      </x:c>
      <x:c r="C77" s="9" t="str">
        <x:v>attracted to or having affinity for</x:v>
      </x:c>
      <x:c r="D77" s="9" t="str">
        <x:v>hydrophilic</x:v>
      </x:c>
      <x:c r="E77" s="9" t="str"/>
      <x:c r="F77" s="9" t="str">
        <x:v>MedlinePlus: Word Parts and What They Mean</x:v>
      </x:c>
      <x:c r="G77" s="9" t="str">
        <x:v>https://medlineplus.gov/appendixa.html</x:v>
      </x:c>
      <x:c r="H77" s="9" t="str">
        <x:v>Verified</x:v>
      </x:c>
    </x:row>
    <x:row r="78" ht="36" customHeight="1">
      <x:c r="A78" s="8" t="str">
        <x:v>WP-077</x:v>
      </x:c>
      <x:c r="B78" s="9" t="str">
        <x:v>-phobic</x:v>
      </x:c>
      <x:c r="C78" s="9" t="str">
        <x:v>repelled by or avoiding</x:v>
      </x:c>
      <x:c r="D78" s="9" t="str">
        <x:v>hydrophobic</x:v>
      </x:c>
      <x:c r="E78" s="9" t="str"/>
      <x:c r="F78" s="9" t="str">
        <x:v>MedlinePlus: Word Parts and What They Mean</x:v>
      </x:c>
      <x:c r="G78" s="9" t="str">
        <x:v>https://medlineplus.gov/appendixa.html</x:v>
      </x:c>
      <x:c r="H78" s="9" t="str">
        <x:v>Verified</x:v>
      </x:c>
    </x:row>
    <x:row r="79" ht="36" customHeight="1">
      <x:c r="A79" s="8" t="str">
        <x:v>WP-078</x:v>
      </x:c>
      <x:c r="B79" s="9" t="str">
        <x:v>phylo-</x:v>
      </x:c>
      <x:c r="C79" s="9" t="str">
        <x:v>lineage or evolutionary group</x:v>
      </x:c>
      <x:c r="D79" s="9" t="str">
        <x:v>phylogeny, polyphyletic</x:v>
      </x:c>
      <x:c r="E79" s="9" t="str"/>
      <x:c r="F79" s="9" t="str">
        <x:v>MedlinePlus: Word Parts and What They Mean</x:v>
      </x:c>
      <x:c r="G79" s="9" t="str">
        <x:v>https://medlineplus.gov/appendixa.html</x:v>
      </x:c>
      <x:c r="H79" s="9" t="str">
        <x:v>Verified</x:v>
      </x:c>
    </x:row>
    <x:row r="80" ht="36" customHeight="1">
      <x:c r="A80" s="8" t="str">
        <x:v>WP-079</x:v>
      </x:c>
      <x:c r="B80" s="9" t="str">
        <x:v>-plasm</x:v>
      </x:c>
      <x:c r="C80" s="9" t="str">
        <x:v>formed material or cellular substance</x:v>
      </x:c>
      <x:c r="D80" s="9" t="str">
        <x:v>cytoplasm, nucleoplasm</x:v>
      </x:c>
      <x:c r="E80" s="9" t="str"/>
      <x:c r="F80" s="9" t="str">
        <x:v>MedlinePlus: Word Parts and What They Mean</x:v>
      </x:c>
      <x:c r="G80" s="9" t="str">
        <x:v>https://medlineplus.gov/appendixa.html</x:v>
      </x:c>
      <x:c r="H80" s="9" t="str">
        <x:v>Verified</x:v>
      </x:c>
    </x:row>
    <x:row r="81" ht="36" customHeight="1">
      <x:c r="A81" s="8" t="str">
        <x:v>WP-080</x:v>
      </x:c>
      <x:c r="B81" s="9" t="str">
        <x:v>pneumo-</x:v>
      </x:c>
      <x:c r="C81" s="9" t="str">
        <x:v>lung, air, or respiration</x:v>
      </x:c>
      <x:c r="D81" s="9" t="str">
        <x:v>pneumocyte, pneumonia</x:v>
      </x:c>
      <x:c r="E81" s="9" t="str">
        <x:v>air</x:v>
      </x:c>
      <x:c r="F81" s="9" t="str">
        <x:v>MedlinePlus: Word Parts and What They Mean</x:v>
      </x:c>
      <x:c r="G81" s="9" t="str">
        <x:v>https://medlineplus.gov/appendixa.html</x:v>
      </x:c>
      <x:c r="H81" s="9" t="str">
        <x:v>Verified</x:v>
      </x:c>
    </x:row>
    <x:row r="82" ht="36" customHeight="1">
      <x:c r="A82" s="8" t="str">
        <x:v>WP-081</x:v>
      </x:c>
      <x:c r="B82" s="9" t="str">
        <x:v>poly-</x:v>
      </x:c>
      <x:c r="C82" s="9" t="str">
        <x:v>many</x:v>
      </x:c>
      <x:c r="D82" s="9" t="str">
        <x:v>polypeptide, polysome</x:v>
      </x:c>
      <x:c r="E82" s="9" t="str"/>
      <x:c r="F82" s="9" t="str">
        <x:v>MedlinePlus: Word Parts and What They Mean</x:v>
      </x:c>
      <x:c r="G82" s="9" t="str">
        <x:v>https://medlineplus.gov/appendixa.html</x:v>
      </x:c>
      <x:c r="H82" s="9" t="str">
        <x:v>Verified</x:v>
      </x:c>
    </x:row>
    <x:row r="83" ht="36" customHeight="1">
      <x:c r="A83" s="8" t="str">
        <x:v>WP-082</x:v>
      </x:c>
      <x:c r="B83" s="9" t="str">
        <x:v>post-</x:v>
      </x:c>
      <x:c r="C83" s="9" t="str">
        <x:v>after or behind</x:v>
      </x:c>
      <x:c r="D83" s="9" t="str">
        <x:v>postzygotic, postsynaptic</x:v>
      </x:c>
      <x:c r="E83" s="9" t="str">
        <x:v>after</x:v>
      </x:c>
      <x:c r="F83" s="9" t="str">
        <x:v>MedlinePlus: Word Parts and What They Mean</x:v>
      </x:c>
      <x:c r="G83" s="9" t="str">
        <x:v>https://medlineplus.gov/appendixa.html</x:v>
      </x:c>
      <x:c r="H83" s="9" t="str">
        <x:v>Verified</x:v>
      </x:c>
    </x:row>
    <x:row r="84" ht="36" customHeight="1">
      <x:c r="A84" s="8" t="str">
        <x:v>WP-083</x:v>
      </x:c>
      <x:c r="B84" s="9" t="str">
        <x:v>pre-</x:v>
      </x:c>
      <x:c r="C84" s="9" t="str">
        <x:v>before</x:v>
      </x:c>
      <x:c r="D84" s="9" t="str">
        <x:v>prezygotic, pre-mRNA</x:v>
      </x:c>
      <x:c r="E84" s="9" t="str"/>
      <x:c r="F84" s="9" t="str">
        <x:v>MedlinePlus: Word Parts and What They Mean</x:v>
      </x:c>
      <x:c r="G84" s="9" t="str">
        <x:v>https://medlineplus.gov/appendixa.html</x:v>
      </x:c>
      <x:c r="H84" s="9" t="str">
        <x:v>Verified</x:v>
      </x:c>
    </x:row>
    <x:row r="85" ht="36" customHeight="1">
      <x:c r="A85" s="8" t="str">
        <x:v>WP-084</x:v>
      </x:c>
      <x:c r="B85" s="9" t="str">
        <x:v>pseudo-</x:v>
      </x:c>
      <x:c r="C85" s="9" t="str">
        <x:v>false or resembling falsely</x:v>
      </x:c>
      <x:c r="D85" s="9" t="str">
        <x:v>pseudopod, pseudogene</x:v>
      </x:c>
      <x:c r="E85" s="9" t="str"/>
      <x:c r="F85" s="9" t="str">
        <x:v>MedlinePlus: Word Parts and What They Mean</x:v>
      </x:c>
      <x:c r="G85" s="9" t="str">
        <x:v>https://medlineplus.gov/appendixa.html</x:v>
      </x:c>
      <x:c r="H85" s="9" t="str">
        <x:v>Verified</x:v>
      </x:c>
    </x:row>
    <x:row r="86" ht="36" customHeight="1">
      <x:c r="A86" s="8" t="str">
        <x:v>WP-085</x:v>
      </x:c>
      <x:c r="B86" s="9" t="str">
        <x:v>retro-</x:v>
      </x:c>
      <x:c r="C86" s="9" t="str">
        <x:v>backward</x:v>
      </x:c>
      <x:c r="D86" s="9" t="str">
        <x:v>retrovirus, retrograde</x:v>
      </x:c>
      <x:c r="E86" s="9" t="str"/>
      <x:c r="F86" s="9" t="str">
        <x:v>MedlinePlus: Word Parts and What They Mean</x:v>
      </x:c>
      <x:c r="G86" s="9" t="str">
        <x:v>https://medlineplus.gov/appendixa.html</x:v>
      </x:c>
      <x:c r="H86" s="9" t="str">
        <x:v>Verified</x:v>
      </x:c>
    </x:row>
    <x:row r="87" ht="36" customHeight="1">
      <x:c r="A87" s="8" t="str">
        <x:v>WP-086</x:v>
      </x:c>
      <x:c r="B87" s="9" t="str">
        <x:v>sclero-</x:v>
      </x:c>
      <x:c r="C87" s="9" t="str">
        <x:v>hard or hardening</x:v>
      </x:c>
      <x:c r="D87" s="9" t="str">
        <x:v>sclerenchyma, atherosclerosis</x:v>
      </x:c>
      <x:c r="E87" s="9" t="str"/>
      <x:c r="F87" s="9" t="str">
        <x:v>MedlinePlus: Word Parts and What They Mean</x:v>
      </x:c>
      <x:c r="G87" s="9" t="str">
        <x:v>https://medlineplus.gov/appendixa.html</x:v>
      </x:c>
      <x:c r="H87" s="9" t="str">
        <x:v>Verified</x:v>
      </x:c>
    </x:row>
    <x:row r="88" ht="36" customHeight="1">
      <x:c r="A88" s="8" t="str">
        <x:v>WP-087</x:v>
      </x:c>
      <x:c r="B88" s="9" t="str">
        <x:v>-scope</x:v>
      </x:c>
      <x:c r="C88" s="9" t="str">
        <x:v>instrument for viewing</x:v>
      </x:c>
      <x:c r="D88" s="9" t="str">
        <x:v>microscope, endoscope</x:v>
      </x:c>
      <x:c r="E88" s="9" t="str"/>
      <x:c r="F88" s="9" t="str">
        <x:v>MedlinePlus: Word Parts and What They Mean</x:v>
      </x:c>
      <x:c r="G88" s="9" t="str">
        <x:v>https://medlineplus.gov/appendixa.html</x:v>
      </x:c>
      <x:c r="H88" s="9" t="str">
        <x:v>Verified</x:v>
      </x:c>
    </x:row>
    <x:row r="89" ht="36" customHeight="1">
      <x:c r="A89" s="8" t="str">
        <x:v>WP-088</x:v>
      </x:c>
      <x:c r="B89" s="9" t="str">
        <x:v>-some</x:v>
      </x:c>
      <x:c r="C89" s="9" t="str">
        <x:v>body</x:v>
      </x:c>
      <x:c r="D89" s="9" t="str">
        <x:v>chromosome, ribosome</x:v>
      </x:c>
      <x:c r="E89" s="9" t="str"/>
      <x:c r="F89" s="9" t="str">
        <x:v>MedlinePlus: Word Parts and What They Mean</x:v>
      </x:c>
      <x:c r="G89" s="9" t="str">
        <x:v>https://medlineplus.gov/appendixa.html</x:v>
      </x:c>
      <x:c r="H89" s="9" t="str">
        <x:v>Verified</x:v>
      </x:c>
    </x:row>
    <x:row r="90" ht="36" customHeight="1">
      <x:c r="A90" s="8" t="str">
        <x:v>WP-089</x:v>
      </x:c>
      <x:c r="B90" s="9" t="str">
        <x:v>stomato-</x:v>
      </x:c>
      <x:c r="C90" s="9" t="str">
        <x:v>mouth or opening</x:v>
      </x:c>
      <x:c r="D90" s="9" t="str">
        <x:v>stoma, stomatitis</x:v>
      </x:c>
      <x:c r="E90" s="9" t="str"/>
      <x:c r="F90" s="9" t="str">
        <x:v>MedlinePlus: Word Parts and What They Mean</x:v>
      </x:c>
      <x:c r="G90" s="9" t="str">
        <x:v>https://medlineplus.gov/appendixa.html</x:v>
      </x:c>
      <x:c r="H90" s="9" t="str">
        <x:v>Verified</x:v>
      </x:c>
    </x:row>
    <x:row r="91" ht="36" customHeight="1">
      <x:c r="A91" s="8" t="str">
        <x:v>WP-090</x:v>
      </x:c>
      <x:c r="B91" s="9" t="str">
        <x:v>thermo-</x:v>
      </x:c>
      <x:c r="C91" s="9" t="str">
        <x:v>heat or temperature</x:v>
      </x:c>
      <x:c r="D91" s="9" t="str">
        <x:v>thermoregulation, thermophile</x:v>
      </x:c>
      <x:c r="E91" s="9" t="str"/>
      <x:c r="F91" s="9" t="str">
        <x:v>MedlinePlus: Word Parts and What They Mean</x:v>
      </x:c>
      <x:c r="G91" s="9" t="str">
        <x:v>https://medlineplus.gov/appendixa.html</x:v>
      </x:c>
      <x:c r="H91" s="9" t="str">
        <x:v>Verified</x:v>
      </x:c>
    </x:row>
    <x:row r="92" ht="36" customHeight="1">
      <x:c r="A92" s="8" t="str">
        <x:v>WP-091</x:v>
      </x:c>
      <x:c r="B92" s="9" t="str">
        <x:v>trans-</x:v>
      </x:c>
      <x:c r="C92" s="9" t="str">
        <x:v>across or through</x:v>
      </x:c>
      <x:c r="D92" s="9" t="str">
        <x:v>transport, translocation</x:v>
      </x:c>
      <x:c r="E92" s="9" t="str"/>
      <x:c r="F92" s="9" t="str">
        <x:v>MedlinePlus: Word Parts and What They Mean</x:v>
      </x:c>
      <x:c r="G92" s="9" t="str">
        <x:v>https://medlineplus.gov/appendixa.html</x:v>
      </x:c>
      <x:c r="H92" s="9" t="str">
        <x:v>Verified</x:v>
      </x:c>
    </x:row>
    <x:row r="93" ht="36" customHeight="1">
      <x:c r="A93" s="8" t="str">
        <x:v>WP-092</x:v>
      </x:c>
      <x:c r="B93" s="9" t="str">
        <x:v>troph-</x:v>
      </x:c>
      <x:c r="C93" s="9" t="str">
        <x:v>nourishment or feeding</x:v>
      </x:c>
      <x:c r="D93" s="9" t="str">
        <x:v>autotroph, trophic</x:v>
      </x:c>
      <x:c r="E93" s="9" t="str"/>
      <x:c r="F93" s="9" t="str">
        <x:v>MedlinePlus: Word Parts and What They Mean</x:v>
      </x:c>
      <x:c r="G93" s="9" t="str">
        <x:v>https://medlineplus.gov/appendixa.html</x:v>
      </x:c>
      <x:c r="H93" s="9" t="str">
        <x:v>Verified</x:v>
      </x:c>
    </x:row>
    <x:row r="94" ht="36" customHeight="1">
      <x:c r="A94" s="8" t="str">
        <x:v>WP-093</x:v>
      </x:c>
      <x:c r="B94" s="9" t="str">
        <x:v>vaso-</x:v>
      </x:c>
      <x:c r="C94" s="9" t="str">
        <x:v>vessel or duct</x:v>
      </x:c>
      <x:c r="D94" s="9" t="str">
        <x:v>vasodilation, vasoconstriction</x:v>
      </x:c>
      <x:c r="E94" s="9" t="str"/>
      <x:c r="F94" s="9" t="str">
        <x:v>MedlinePlus: Word Parts and What They Mean</x:v>
      </x:c>
      <x:c r="G94" s="9" t="str">
        <x:v>https://medlineplus.gov/appendixa.html</x:v>
      </x:c>
      <x:c r="H94" s="9" t="str">
        <x:v>Verified</x:v>
      </x:c>
    </x:row>
    <x:row r="95" ht="36" customHeight="1">
      <x:c r="A95" s="8" t="str">
        <x:v>WP-094</x:v>
      </x:c>
      <x:c r="B95" s="9" t="str">
        <x:v>xantho-</x:v>
      </x:c>
      <x:c r="C95" s="9" t="str">
        <x:v>yellow</x:v>
      </x:c>
      <x:c r="D95" s="9" t="str">
        <x:v>xanthophyll</x:v>
      </x:c>
      <x:c r="E95" s="9" t="str"/>
      <x:c r="F95" s="9" t="str">
        <x:v>MedlinePlus: Word Parts and What They Mean</x:v>
      </x:c>
      <x:c r="G95" s="9" t="str">
        <x:v>https://medlineplus.gov/appendixa.html</x:v>
      </x:c>
      <x:c r="H95" s="9" t="str">
        <x:v>Verified</x:v>
      </x:c>
    </x:row>
    <x:row r="96" ht="36" customHeight="1">
      <x:c r="A96" s="8" t="str">
        <x:v>WP-095</x:v>
      </x:c>
      <x:c r="B96" s="9" t="str">
        <x:v>xero-</x:v>
      </x:c>
      <x:c r="C96" s="9" t="str">
        <x:v>dry</x:v>
      </x:c>
      <x:c r="D96" s="9" t="str">
        <x:v>xerophyte</x:v>
      </x:c>
      <x:c r="E96" s="9" t="str"/>
      <x:c r="F96" s="9" t="str">
        <x:v>MedlinePlus: Word Parts and What They Mean</x:v>
      </x:c>
      <x:c r="G96" s="9" t="str">
        <x:v>https://medlineplus.gov/appendixa.html</x:v>
      </x:c>
      <x:c r="H96" s="9" t="str">
        <x:v>Verified</x:v>
      </x:c>
    </x:row>
    <x:row r="97" ht="36" customHeight="1">
      <x:c r="A97" s="8" t="str">
        <x:v>WP-096</x:v>
      </x:c>
      <x:c r="B97" s="9" t="str">
        <x:v>zoo-</x:v>
      </x:c>
      <x:c r="C97" s="9" t="str">
        <x:v>animal</x:v>
      </x:c>
      <x:c r="D97" s="9" t="str">
        <x:v>zoology, zooplankton</x:v>
      </x:c>
      <x:c r="E97" s="9" t="str"/>
      <x:c r="F97" s="9" t="str">
        <x:v>MedlinePlus: Word Parts and What They Mean</x:v>
      </x:c>
      <x:c r="G97" s="9" t="str">
        <x:v>https://medlineplus.gov/appendixa.html</x:v>
      </x:c>
      <x:c r="H97" s="9" t="str">
        <x:v>Verified</x:v>
      </x:c>
    </x:row>
    <x:row r="98" ht="36" customHeight="1">
      <x:c r="A98" s="8" t="str">
        <x:v>WP-097</x:v>
      </x:c>
      <x:c r="B98" s="9" t="str">
        <x:v>zygo-</x:v>
      </x:c>
      <x:c r="C98" s="9" t="str">
        <x:v>joined or yoked</x:v>
      </x:c>
      <x:c r="D98" s="9" t="str">
        <x:v>zygote, homozygous</x:v>
      </x:c>
      <x:c r="E98" s="9" t="str">
        <x:v>together</x:v>
      </x:c>
      <x:c r="F98" s="9" t="str">
        <x:v>MedlinePlus: Word Parts and What They Mean</x:v>
      </x:c>
      <x:c r="G98" s="9" t="str">
        <x:v>https://medlineplus.gov/appendixa.html</x:v>
      </x:c>
      <x:c r="H98" s="9" t="str">
        <x:v>Verified</x:v>
      </x:c>
    </x:row>
    <x:row r="99" ht="36" customHeight="1">
      <x:c r="A99" s="8" t="str">
        <x:v>WP-098</x:v>
      </x:c>
      <x:c r="B99" s="9" t="str">
        <x:v>-ase</x:v>
      </x:c>
      <x:c r="C99" s="9" t="str">
        <x:v>enzyme</x:v>
      </x:c>
      <x:c r="D99" s="9" t="str">
        <x:v>polymerase, helicase</x:v>
      </x:c>
      <x:c r="E99" s="9" t="str"/>
      <x:c r="F99" s="9" t="str">
        <x:v>MedlinePlus: Word Parts and What They Mean</x:v>
      </x:c>
      <x:c r="G99" s="9" t="str">
        <x:v>https://medlineplus.gov/appendixa.html</x:v>
      </x:c>
      <x:c r="H99" s="9" t="str">
        <x:v>Verified</x:v>
      </x:c>
    </x:row>
    <x:row r="100" ht="36" customHeight="1">
      <x:c r="A100" s="8" t="str">
        <x:v>WP-099</x:v>
      </x:c>
      <x:c r="B100" s="9" t="str">
        <x:v>-oid</x:v>
      </x:c>
      <x:c r="C100" s="9" t="str">
        <x:v>resembling or shaped like</x:v>
      </x:c>
      <x:c r="D100" s="9" t="str">
        <x:v>lymphoid, amyloid</x:v>
      </x:c>
      <x:c r="E100" s="9" t="str">
        <x:v>shape</x:v>
      </x:c>
      <x:c r="F100" s="9" t="str">
        <x:v>MedlinePlus: Word Parts and What They Mean</x:v>
      </x:c>
      <x:c r="G100" s="9" t="str">
        <x:v>https://medlineplus.gov/appendixa.html</x:v>
      </x:c>
      <x:c r="H100" s="9" t="str">
        <x:v>Verified</x:v>
      </x:c>
    </x:row>
    <x:row r="101" ht="36" customHeight="1">
      <x:c r="A101" s="8" t="str">
        <x:v>WP-100</x:v>
      </x:c>
      <x:c r="B101" s="9" t="str">
        <x:v>-itis</x:v>
      </x:c>
      <x:c r="C101" s="9" t="str">
        <x:v>inflammation</x:v>
      </x:c>
      <x:c r="D101" s="9" t="str">
        <x:v>hepatitis, dermatitis</x:v>
      </x:c>
      <x:c r="E101" s="9" t="str"/>
      <x:c r="F101" s="9" t="str">
        <x:v>MedlinePlus: Word Parts and What They Mean</x:v>
      </x:c>
      <x:c r="G101" s="9" t="str">
        <x:v>https://medlineplus.gov/appendixa.html</x:v>
      </x:c>
      <x:c r="H101" s="9" t="str">
        <x:v>Verified</x:v>
      </x:c>
    </x:row>
    <x:row r="102" ht="36" customHeight="1">
      <x:c r="A102" s="8" t="str">
        <x:v>WP-101</x:v>
      </x:c>
      <x:c r="B102" s="9" t="str">
        <x:v>-ectomy</x:v>
      </x:c>
      <x:c r="C102" s="9" t="str">
        <x:v>surgical removal</x:v>
      </x:c>
      <x:c r="D102" s="9" t="str">
        <x:v>appendectomy</x:v>
      </x:c>
      <x:c r="E102" s="9" t="str"/>
      <x:c r="F102" s="9" t="str">
        <x:v>MedlinePlus: Word Parts and What They Mean</x:v>
      </x:c>
      <x:c r="G102" s="9" t="str">
        <x:v>https://medlineplus.gov/appendixa.html</x:v>
      </x:c>
      <x:c r="H102" s="9" t="str">
        <x:v>Verified</x:v>
      </x:c>
    </x:row>
    <x:row r="103" ht="36" customHeight="1">
      <x:c r="A103" s="8" t="str">
        <x:v>WP-102</x:v>
      </x:c>
      <x:c r="B103" s="9" t="str">
        <x:v>-logy</x:v>
      </x:c>
      <x:c r="C103" s="9" t="str">
        <x:v>study or science of</x:v>
      </x:c>
      <x:c r="D103" s="9" t="str">
        <x:v>biology, ecology</x:v>
      </x:c>
      <x:c r="E103" s="9" t="str"/>
      <x:c r="F103" s="9" t="str">
        <x:v>MedlinePlus: Word Parts and What They Mean</x:v>
      </x:c>
      <x:c r="G103" s="9" t="str">
        <x:v>https://medlineplus.gov/appendixa.html</x:v>
      </x:c>
      <x:c r="H103" s="9" t="str">
        <x:v>Verified</x:v>
      </x:c>
    </x:row>
    <x:row r="104" ht="36" customHeight="1">
      <x:c r="A104" s="8" t="str">
        <x:v>WP-103</x:v>
      </x:c>
      <x:c r="B104" s="9" t="str">
        <x:v>-taxis</x:v>
      </x:c>
      <x:c r="C104" s="9" t="str">
        <x:v>directed movement in response to a stimulus</x:v>
      </x:c>
      <x:c r="D104" s="9" t="str">
        <x:v>chemotaxis, phototaxis</x:v>
      </x:c>
      <x:c r="E104" s="9" t="str">
        <x:v>directional-response</x:v>
      </x:c>
      <x:c r="F104" s="9" t="str">
        <x:v>MedlinePlus: Word Parts and What They Mean</x:v>
      </x:c>
      <x:c r="G104" s="9" t="str">
        <x:v>https://medlineplus.gov/appendixa.html</x:v>
      </x:c>
      <x:c r="H104" s="9" t="str">
        <x:v>Verified</x:v>
      </x:c>
    </x:row>
    <x:row r="105" ht="36" customHeight="1">
      <x:c r="A105" s="8" t="str">
        <x:v>WP-104</x:v>
      </x:c>
      <x:c r="B105" s="9" t="str">
        <x:v>-tropism</x:v>
      </x:c>
      <x:c r="C105" s="9" t="str">
        <x:v>directional growth response</x:v>
      </x:c>
      <x:c r="D105" s="9" t="str">
        <x:v>phototropism, gravitropism</x:v>
      </x:c>
      <x:c r="E105" s="9" t="str">
        <x:v>directional-response</x:v>
      </x:c>
      <x:c r="F105" s="9" t="str">
        <x:v>MedlinePlus: Word Parts and What They Mean</x:v>
      </x:c>
      <x:c r="G105" s="9" t="str">
        <x:v>https://medlineplus.gov/appendixa.html</x:v>
      </x:c>
      <x:c r="H105" s="9" t="str">
        <x:v>Verified</x:v>
      </x:c>
    </x:row>
    <x:row r="106" ht="36" customHeight="1">
      <x:c r="A106" s="8" t="str">
        <x:v>WP-105</x:v>
      </x:c>
      <x:c r="B106" s="9" t="str">
        <x:v>peri-</x:v>
      </x:c>
      <x:c r="C106" s="9" t="str">
        <x:v>around or surrounding</x:v>
      </x:c>
      <x:c r="D106" s="9" t="str">
        <x:v>pericardium, perinuclear</x:v>
      </x:c>
      <x:c r="E106" s="9" t="str"/>
      <x:c r="F106" s="9" t="str">
        <x:v>MedlinePlus: Word Parts and What They Mean</x:v>
      </x:c>
      <x:c r="G106" s="9" t="str">
        <x:v>https://medlineplus.gov/appendixa.html</x:v>
      </x:c>
      <x:c r="H106" s="9" t="str">
        <x:v>Verified</x:v>
      </x:c>
    </x:row>
    <x:row r="107" ht="36" customHeight="1">
      <x:c r="A107" s="8" t="str">
        <x:v>WP-106</x:v>
      </x:c>
      <x:c r="B107" s="9" t="str">
        <x:v>-pnea</x:v>
      </x:c>
      <x:c r="C107" s="9" t="str">
        <x:v>breathing</x:v>
      </x:c>
      <x:c r="D107" s="9" t="str">
        <x:v>apnea, tachypnea</x:v>
      </x:c>
      <x:c r="E107" s="9" t="str"/>
      <x:c r="F107" s="9" t="str">
        <x:v>MedlinePlus: Word Parts and What They Mean</x:v>
      </x:c>
      <x:c r="G107" s="9" t="str">
        <x:v>https://medlineplus.gov/appendixa.html</x:v>
      </x:c>
      <x:c r="H107" s="9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92056288239145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10" hidden="0" customWidth="1"/>
    <x:col min="5" max="5" width="13" hidden="0" customWidth="1"/>
    <x:col min="6" max="6" width="11" hidden="0" customWidth="1"/>
    <x:col min="7" max="7" width="14" hidden="0" customWidth="1"/>
    <x:col min="9" max="9" width="31" hidden="0" customWidth="1"/>
    <x:col min="10" max="10" width="14" hidden="0" customWidth="1"/>
  </x:cols>
  <x:sheetData>
    <x:row r="1">
      <x:c r="A1" s="11" t="str">
        <x:v>DP Biology curriculum coverage</x:v>
      </x:c>
      <x:c r="B1" s="11"/>
      <x:c r="C1" s="11"/>
      <x:c r="D1" s="11"/>
      <x:c r="E1" s="11"/>
      <x:c r="F1" s="11"/>
      <x:c r="G1" s="11"/>
    </x:row>
    <x:row r="2">
      <x:c r="A2" s="11"/>
      <x:c r="B2" s="11"/>
      <x:c r="C2" s="11"/>
      <x:c r="D2" s="11"/>
      <x:c r="E2" s="11"/>
      <x:c r="F2" s="11"/>
      <x:c r="G2" s="11"/>
    </x:row>
    <x:row r="3">
      <x:c r="A3" s="13" t="str">
        <x:v>All 40 topics from the first-assessment-2025 framework are represented; a minimum of 10 terms is required per topic.</x:v>
      </x:c>
      <x:c r="B3" s="13"/>
      <x:c r="C3" s="13"/>
      <x:c r="D3" s="13"/>
      <x:c r="E3" s="13"/>
      <x:c r="F3" s="13"/>
      <x:c r="G3" s="13"/>
    </x:row>
    <x:row r="5">
      <x:c r="A5" s="5" t="str">
        <x:v>DP Code</x:v>
      </x:c>
      <x:c r="B5" s="5" t="str">
        <x:v>Theme</x:v>
      </x:c>
      <x:c r="C5" s="5" t="str">
        <x:v>Topic</x:v>
      </x:c>
      <x:c r="D5" s="5" t="str">
        <x:v>Level</x:v>
      </x:c>
      <x:c r="E5" s="5" t="str">
        <x:v>Term Count</x:v>
      </x:c>
      <x:c r="F5" s="5" t="str">
        <x:v>Minimum</x:v>
      </x:c>
      <x:c r="G5" s="5" t="str">
        <x:v>Status</x:v>
      </x:c>
      <x:c r="I5" s="5" t="str">
        <x:v>Theme</x:v>
      </x:c>
      <x:c r="J5" s="5" t="str">
        <x:v>DP Terms</x:v>
      </x:c>
    </x:row>
    <x:row r="6" ht="28" customHeight="1">
      <x:c r="A6" s="8" t="str">
        <x:v>A1.1</x:v>
      </x:c>
      <x:c r="B6" s="9" t="str">
        <x:v>Unity and diversity</x:v>
      </x:c>
      <x:c r="C6" s="9" t="str">
        <x:v>Water</x:v>
      </x:c>
      <x:c r="D6" s="8" t="str">
        <x:v>SL/HL</x:v>
      </x:c>
      <x:c r="E6" s="8" t="n">
        <x:f>COUNTIF(DP_Terminology!$B$2:$B$674,A6)</x:f>
        <x:v>15</x:v>
      </x:c>
      <x:c r="F6" s="8" t="n">
        <x:v>10</x:v>
      </x:c>
      <x:c r="G6" s="8" t="str">
        <x:f>IF(E6&gt;=F6,"Covered","Review")</x:f>
        <x:v>Covered</x:v>
      </x:c>
      <x:c r="I6" s="8" t="str">
        <x:v>Unity and diversity</x:v>
      </x:c>
      <x:c r="J6" s="8" t="n">
        <x:f>COUNTIF(DP_Terminology!$C$2:$C$674,I6)</x:f>
        <x:v>134</x:v>
      </x:c>
    </x:row>
    <x:row r="7" ht="28" customHeight="1">
      <x:c r="A7" s="8" t="str">
        <x:v>A1.2</x:v>
      </x:c>
      <x:c r="B7" s="9" t="str">
        <x:v>Unity and diversity</x:v>
      </x:c>
      <x:c r="C7" s="9" t="str">
        <x:v>Nucleic acids</x:v>
      </x:c>
      <x:c r="D7" s="8" t="str">
        <x:v>SL/HL</x:v>
      </x:c>
      <x:c r="E7" s="8" t="n">
        <x:f>COUNTIF(DP_Terminology!$B$2:$B$674,A7)</x:f>
        <x:v>15</x:v>
      </x:c>
      <x:c r="F7" s="8" t="n">
        <x:v>10</x:v>
      </x:c>
      <x:c r="G7" s="8" t="str">
        <x:f>IF(E7&gt;=F7,"Covered","Review")</x:f>
        <x:v>Covered</x:v>
      </x:c>
      <x:c r="I7" s="8" t="str">
        <x:v>Form and function</x:v>
      </x:c>
      <x:c r="J7" s="8" t="n">
        <x:f>COUNTIF(DP_Terminology!$C$2:$C$674,I7)</x:f>
        <x:v>159</x:v>
      </x:c>
    </x:row>
    <x:row r="8" ht="28" customHeight="1">
      <x:c r="A8" s="8" t="str">
        <x:v>A2.1</x:v>
      </x:c>
      <x:c r="B8" s="9" t="str">
        <x:v>Unity and diversity</x:v>
      </x:c>
      <x:c r="C8" s="9" t="str">
        <x:v>Origins of cells</x:v>
      </x:c>
      <x:c r="D8" s="8" t="str">
        <x:v>HL</x:v>
      </x:c>
      <x:c r="E8" s="8" t="n">
        <x:f>COUNTIF(DP_Terminology!$B$2:$B$674,A8)</x:f>
        <x:v>15</x:v>
      </x:c>
      <x:c r="F8" s="8" t="n">
        <x:v>10</x:v>
      </x:c>
      <x:c r="G8" s="8" t="str">
        <x:f>IF(E8&gt;=F8,"Covered","Review")</x:f>
        <x:v>Covered</x:v>
      </x:c>
      <x:c r="I8" s="8" t="str">
        <x:v>Interaction and interdependence</x:v>
      </x:c>
      <x:c r="J8" s="8" t="n">
        <x:f>COUNTIF(DP_Terminology!$C$2:$C$674,I8)</x:f>
        <x:v>161</x:v>
      </x:c>
    </x:row>
    <x:row r="9" ht="28" customHeight="1">
      <x:c r="A9" s="8" t="str">
        <x:v>A2.2</x:v>
      </x:c>
      <x:c r="B9" s="9" t="str">
        <x:v>Unity and diversity</x:v>
      </x:c>
      <x:c r="C9" s="9" t="str">
        <x:v>Cell structure</x:v>
      </x:c>
      <x:c r="D9" s="8" t="str">
        <x:v>SL/HL</x:v>
      </x:c>
      <x:c r="E9" s="8" t="n">
        <x:f>COUNTIF(DP_Terminology!$B$2:$B$674,A9)</x:f>
        <x:v>15</x:v>
      </x:c>
      <x:c r="F9" s="8" t="n">
        <x:v>10</x:v>
      </x:c>
      <x:c r="G9" s="8" t="str">
        <x:f>IF(E9&gt;=F9,"Covered","Review")</x:f>
        <x:v>Covered</x:v>
      </x:c>
      <x:c r="I9" s="8" t="str">
        <x:v>Continuity and change</x:v>
      </x:c>
      <x:c r="J9" s="8" t="n">
        <x:f>COUNTIF(DP_Terminology!$C$2:$C$674,I9)</x:f>
        <x:v>219</x:v>
      </x:c>
    </x:row>
    <x:row r="10" ht="28" customHeight="1">
      <x:c r="A10" s="8" t="str">
        <x:v>A2.3</x:v>
      </x:c>
      <x:c r="B10" s="9" t="str">
        <x:v>Unity and diversity</x:v>
      </x:c>
      <x:c r="C10" s="9" t="str">
        <x:v>Viruses</x:v>
      </x:c>
      <x:c r="D10" s="8" t="str">
        <x:v>HL</x:v>
      </x:c>
      <x:c r="E10" s="8" t="n">
        <x:f>COUNTIF(DP_Terminology!$B$2:$B$674,A10)</x:f>
        <x:v>15</x:v>
      </x:c>
      <x:c r="F10" s="8" t="n">
        <x:v>10</x:v>
      </x:c>
      <x:c r="G10" s="8" t="str">
        <x:f>IF(E10&gt;=F10,"Covered","Review")</x:f>
        <x:v>Covered</x:v>
      </x:c>
    </x:row>
    <x:row r="11" ht="28" customHeight="1">
      <x:c r="A11" s="8" t="str">
        <x:v>A3.1</x:v>
      </x:c>
      <x:c r="B11" s="9" t="str">
        <x:v>Unity and diversity</x:v>
      </x:c>
      <x:c r="C11" s="9" t="str">
        <x:v>Diversity of organisms</x:v>
      </x:c>
      <x:c r="D11" s="8" t="str">
        <x:v>SL/HL</x:v>
      </x:c>
      <x:c r="E11" s="8" t="n">
        <x:f>COUNTIF(DP_Terminology!$B$2:$B$674,A11)</x:f>
        <x:v>15</x:v>
      </x:c>
      <x:c r="F11" s="8" t="n">
        <x:v>10</x:v>
      </x:c>
      <x:c r="G11" s="8" t="str">
        <x:f>IF(E11&gt;=F11,"Covered","Review")</x:f>
        <x:v>Covered</x:v>
      </x:c>
    </x:row>
    <x:row r="12" ht="28" customHeight="1">
      <x:c r="A12" s="8" t="str">
        <x:v>A3.2</x:v>
      </x:c>
      <x:c r="B12" s="9" t="str">
        <x:v>Unity and diversity</x:v>
      </x:c>
      <x:c r="C12" s="9" t="str">
        <x:v>Classification and cladistics</x:v>
      </x:c>
      <x:c r="D12" s="8" t="str">
        <x:v>HL</x:v>
      </x:c>
      <x:c r="E12" s="8" t="n">
        <x:f>COUNTIF(DP_Terminology!$B$2:$B$674,A12)</x:f>
        <x:v>14</x:v>
      </x:c>
      <x:c r="F12" s="8" t="n">
        <x:v>10</x:v>
      </x:c>
      <x:c r="G12" s="8" t="str">
        <x:f>IF(E12&gt;=F12,"Covered","Review")</x:f>
        <x:v>Covered</x:v>
      </x:c>
    </x:row>
    <x:row r="13" ht="28" customHeight="1">
      <x:c r="A13" s="8" t="str">
        <x:v>A4.1</x:v>
      </x:c>
      <x:c r="B13" s="9" t="str">
        <x:v>Unity and diversity</x:v>
      </x:c>
      <x:c r="C13" s="9" t="str">
        <x:v>Evolution and speciation</x:v>
      </x:c>
      <x:c r="D13" s="8" t="str">
        <x:v>SL/HL</x:v>
      </x:c>
      <x:c r="E13" s="8" t="n">
        <x:f>COUNTIF(DP_Terminology!$B$2:$B$674,A13)</x:f>
        <x:v>15</x:v>
      </x:c>
      <x:c r="F13" s="8" t="n">
        <x:v>10</x:v>
      </x:c>
      <x:c r="G13" s="8" t="str">
        <x:f>IF(E13&gt;=F13,"Covered","Review")</x:f>
        <x:v>Covered</x:v>
      </x:c>
    </x:row>
    <x:row r="14" ht="28" customHeight="1">
      <x:c r="A14" s="8" t="str">
        <x:v>A4.2</x:v>
      </x:c>
      <x:c r="B14" s="9" t="str">
        <x:v>Unity and diversity</x:v>
      </x:c>
      <x:c r="C14" s="9" t="str">
        <x:v>Conservation of biodiversity</x:v>
      </x:c>
      <x:c r="D14" s="8" t="str">
        <x:v>SL/HL</x:v>
      </x:c>
      <x:c r="E14" s="8" t="n">
        <x:f>COUNTIF(DP_Terminology!$B$2:$B$674,A14)</x:f>
        <x:v>15</x:v>
      </x:c>
      <x:c r="F14" s="8" t="n">
        <x:v>10</x:v>
      </x:c>
      <x:c r="G14" s="8" t="str">
        <x:f>IF(E14&gt;=F14,"Covered","Review")</x:f>
        <x:v>Covered</x:v>
      </x:c>
    </x:row>
    <x:row r="15" ht="28" customHeight="1">
      <x:c r="A15" s="8" t="str">
        <x:v>B1.1</x:v>
      </x:c>
      <x:c r="B15" s="9" t="str">
        <x:v>Form and function</x:v>
      </x:c>
      <x:c r="C15" s="9" t="str">
        <x:v>Carbohydrates and lipids</x:v>
      </x:c>
      <x:c r="D15" s="8" t="str">
        <x:v>SL/HL</x:v>
      </x:c>
      <x:c r="E15" s="8" t="n">
        <x:f>COUNTIF(DP_Terminology!$B$2:$B$674,A15)</x:f>
        <x:v>15</x:v>
      </x:c>
      <x:c r="F15" s="8" t="n">
        <x:v>10</x:v>
      </x:c>
      <x:c r="G15" s="8" t="str">
        <x:f>IF(E15&gt;=F15,"Covered","Review")</x:f>
        <x:v>Covered</x:v>
      </x:c>
    </x:row>
    <x:row r="16" ht="28" customHeight="1">
      <x:c r="A16" s="8" t="str">
        <x:v>B1.2</x:v>
      </x:c>
      <x:c r="B16" s="9" t="str">
        <x:v>Form and function</x:v>
      </x:c>
      <x:c r="C16" s="9" t="str">
        <x:v>Proteins</x:v>
      </x:c>
      <x:c r="D16" s="8" t="str">
        <x:v>SL/HL</x:v>
      </x:c>
      <x:c r="E16" s="8" t="n">
        <x:f>COUNTIF(DP_Terminology!$B$2:$B$674,A16)</x:f>
        <x:v>15</x:v>
      </x:c>
      <x:c r="F16" s="8" t="n">
        <x:v>10</x:v>
      </x:c>
      <x:c r="G16" s="8" t="str">
        <x:f>IF(E16&gt;=F16,"Covered","Review")</x:f>
        <x:v>Covered</x:v>
      </x:c>
    </x:row>
    <x:row r="17" ht="28" customHeight="1">
      <x:c r="A17" s="8" t="str">
        <x:v>B2.1</x:v>
      </x:c>
      <x:c r="B17" s="9" t="str">
        <x:v>Form and function</x:v>
      </x:c>
      <x:c r="C17" s="9" t="str">
        <x:v>Membranes and membrane transport</x:v>
      </x:c>
      <x:c r="D17" s="8" t="str">
        <x:v>SL/HL</x:v>
      </x:c>
      <x:c r="E17" s="8" t="n">
        <x:f>COUNTIF(DP_Terminology!$B$2:$B$674,A17)</x:f>
        <x:v>16</x:v>
      </x:c>
      <x:c r="F17" s="8" t="n">
        <x:v>10</x:v>
      </x:c>
      <x:c r="G17" s="8" t="str">
        <x:f>IF(E17&gt;=F17,"Covered","Review")</x:f>
        <x:v>Covered</x:v>
      </x:c>
    </x:row>
    <x:row r="18" ht="28" customHeight="1">
      <x:c r="A18" s="8" t="str">
        <x:v>B2.2</x:v>
      </x:c>
      <x:c r="B18" s="9" t="str">
        <x:v>Form and function</x:v>
      </x:c>
      <x:c r="C18" s="9" t="str">
        <x:v>Organelles and compartmentalization</x:v>
      </x:c>
      <x:c r="D18" s="8" t="str">
        <x:v>SL/HL</x:v>
      </x:c>
      <x:c r="E18" s="8" t="n">
        <x:f>COUNTIF(DP_Terminology!$B$2:$B$674,A18)</x:f>
        <x:v>16</x:v>
      </x:c>
      <x:c r="F18" s="8" t="n">
        <x:v>10</x:v>
      </x:c>
      <x:c r="G18" s="8" t="str">
        <x:f>IF(E18&gt;=F18,"Covered","Review")</x:f>
        <x:v>Covered</x:v>
      </x:c>
    </x:row>
    <x:row r="19" ht="28" customHeight="1">
      <x:c r="A19" s="8" t="str">
        <x:v>B2.3</x:v>
      </x:c>
      <x:c r="B19" s="9" t="str">
        <x:v>Form and function</x:v>
      </x:c>
      <x:c r="C19" s="9" t="str">
        <x:v>Cell specialization</x:v>
      </x:c>
      <x:c r="D19" s="8" t="str">
        <x:v>SL/HL</x:v>
      </x:c>
      <x:c r="E19" s="8" t="n">
        <x:f>COUNTIF(DP_Terminology!$B$2:$B$674,A19)</x:f>
        <x:v>15</x:v>
      </x:c>
      <x:c r="F19" s="8" t="n">
        <x:v>10</x:v>
      </x:c>
      <x:c r="G19" s="8" t="str">
        <x:f>IF(E19&gt;=F19,"Covered","Review")</x:f>
        <x:v>Covered</x:v>
      </x:c>
    </x:row>
    <x:row r="20" ht="28" customHeight="1">
      <x:c r="A20" s="8" t="str">
        <x:v>B3.1</x:v>
      </x:c>
      <x:c r="B20" s="9" t="str">
        <x:v>Form and function</x:v>
      </x:c>
      <x:c r="C20" s="9" t="str">
        <x:v>Gas exchange</x:v>
      </x:c>
      <x:c r="D20" s="8" t="str">
        <x:v>SL/HL</x:v>
      </x:c>
      <x:c r="E20" s="8" t="n">
        <x:f>COUNTIF(DP_Terminology!$B$2:$B$674,A20)</x:f>
        <x:v>16</x:v>
      </x:c>
      <x:c r="F20" s="8" t="n">
        <x:v>10</x:v>
      </x:c>
      <x:c r="G20" s="8" t="str">
        <x:f>IF(E20&gt;=F20,"Covered","Review")</x:f>
        <x:v>Covered</x:v>
      </x:c>
    </x:row>
    <x:row r="21" ht="28" customHeight="1">
      <x:c r="A21" s="8" t="str">
        <x:v>B3.2</x:v>
      </x:c>
      <x:c r="B21" s="9" t="str">
        <x:v>Form and function</x:v>
      </x:c>
      <x:c r="C21" s="9" t="str">
        <x:v>Transport</x:v>
      </x:c>
      <x:c r="D21" s="8" t="str">
        <x:v>SL/HL</x:v>
      </x:c>
      <x:c r="E21" s="8" t="n">
        <x:f>COUNTIF(DP_Terminology!$B$2:$B$674,A21)</x:f>
        <x:v>20</x:v>
      </x:c>
      <x:c r="F21" s="8" t="n">
        <x:v>10</x:v>
      </x:c>
      <x:c r="G21" s="8" t="str">
        <x:f>IF(E21&gt;=F21,"Covered","Review")</x:f>
        <x:v>Covered</x:v>
      </x:c>
    </x:row>
    <x:row r="22" ht="28" customHeight="1">
      <x:c r="A22" s="8" t="str">
        <x:v>B3.3</x:v>
      </x:c>
      <x:c r="B22" s="9" t="str">
        <x:v>Form and function</x:v>
      </x:c>
      <x:c r="C22" s="9" t="str">
        <x:v>Muscle and motility</x:v>
      </x:c>
      <x:c r="D22" s="8" t="str">
        <x:v>HL</x:v>
      </x:c>
      <x:c r="E22" s="8" t="n">
        <x:f>COUNTIF(DP_Terminology!$B$2:$B$674,A22)</x:f>
        <x:v>15</x:v>
      </x:c>
      <x:c r="F22" s="8" t="n">
        <x:v>10</x:v>
      </x:c>
      <x:c r="G22" s="8" t="str">
        <x:f>IF(E22&gt;=F22,"Covered","Review")</x:f>
        <x:v>Covered</x:v>
      </x:c>
    </x:row>
    <x:row r="23" ht="28" customHeight="1">
      <x:c r="A23" s="8" t="str">
        <x:v>B4.1</x:v>
      </x:c>
      <x:c r="B23" s="9" t="str">
        <x:v>Form and function</x:v>
      </x:c>
      <x:c r="C23" s="9" t="str">
        <x:v>Adaptation to environment</x:v>
      </x:c>
      <x:c r="D23" s="8" t="str">
        <x:v>SL/HL</x:v>
      </x:c>
      <x:c r="E23" s="8" t="n">
        <x:f>COUNTIF(DP_Terminology!$B$2:$B$674,A23)</x:f>
        <x:v>15</x:v>
      </x:c>
      <x:c r="F23" s="8" t="n">
        <x:v>10</x:v>
      </x:c>
      <x:c r="G23" s="8" t="str">
        <x:f>IF(E23&gt;=F23,"Covered","Review")</x:f>
        <x:v>Covered</x:v>
      </x:c>
    </x:row>
    <x:row r="24" ht="28" customHeight="1">
      <x:c r="A24" s="8" t="str">
        <x:v>B4.2</x:v>
      </x:c>
      <x:c r="B24" s="9" t="str">
        <x:v>Form and function</x:v>
      </x:c>
      <x:c r="C24" s="9" t="str">
        <x:v>Ecological niches</x:v>
      </x:c>
      <x:c r="D24" s="8" t="str">
        <x:v>SL/HL</x:v>
      </x:c>
      <x:c r="E24" s="8" t="n">
        <x:f>COUNTIF(DP_Terminology!$B$2:$B$674,A24)</x:f>
        <x:v>16</x:v>
      </x:c>
      <x:c r="F24" s="8" t="n">
        <x:v>10</x:v>
      </x:c>
      <x:c r="G24" s="8" t="str">
        <x:f>IF(E24&gt;=F24,"Covered","Review")</x:f>
        <x:v>Covered</x:v>
      </x:c>
    </x:row>
    <x:row r="25" ht="28" customHeight="1">
      <x:c r="A25" s="8" t="str">
        <x:v>C1.1</x:v>
      </x:c>
      <x:c r="B25" s="9" t="str">
        <x:v>Interaction and interdependence</x:v>
      </x:c>
      <x:c r="C25" s="9" t="str">
        <x:v>Enzymes and metabolism</x:v>
      </x:c>
      <x:c r="D25" s="8" t="str">
        <x:v>SL/HL</x:v>
      </x:c>
      <x:c r="E25" s="8" t="n">
        <x:f>COUNTIF(DP_Terminology!$B$2:$B$674,A25)</x:f>
        <x:v>17</x:v>
      </x:c>
      <x:c r="F25" s="8" t="n">
        <x:v>10</x:v>
      </x:c>
      <x:c r="G25" s="8" t="str">
        <x:f>IF(E25&gt;=F25,"Covered","Review")</x:f>
        <x:v>Covered</x:v>
      </x:c>
    </x:row>
    <x:row r="26" ht="28" customHeight="1">
      <x:c r="A26" s="8" t="str">
        <x:v>C1.2</x:v>
      </x:c>
      <x:c r="B26" s="9" t="str">
        <x:v>Interaction and interdependence</x:v>
      </x:c>
      <x:c r="C26" s="9" t="str">
        <x:v>Cell respiration</x:v>
      </x:c>
      <x:c r="D26" s="8" t="str">
        <x:v>SL/HL</x:v>
      </x:c>
      <x:c r="E26" s="8" t="n">
        <x:f>COUNTIF(DP_Terminology!$B$2:$B$674,A26)</x:f>
        <x:v>20</x:v>
      </x:c>
      <x:c r="F26" s="8" t="n">
        <x:v>10</x:v>
      </x:c>
      <x:c r="G26" s="8" t="str">
        <x:f>IF(E26&gt;=F26,"Covered","Review")</x:f>
        <x:v>Covered</x:v>
      </x:c>
    </x:row>
    <x:row r="27" ht="28" customHeight="1">
      <x:c r="A27" s="8" t="str">
        <x:v>C1.3</x:v>
      </x:c>
      <x:c r="B27" s="9" t="str">
        <x:v>Interaction and interdependence</x:v>
      </x:c>
      <x:c r="C27" s="9" t="str">
        <x:v>Photosynthesis</x:v>
      </x:c>
      <x:c r="D27" s="8" t="str">
        <x:v>SL/HL</x:v>
      </x:c>
      <x:c r="E27" s="8" t="n">
        <x:f>COUNTIF(DP_Terminology!$B$2:$B$674,A27)</x:f>
        <x:v>18</x:v>
      </x:c>
      <x:c r="F27" s="8" t="n">
        <x:v>10</x:v>
      </x:c>
      <x:c r="G27" s="8" t="str">
        <x:f>IF(E27&gt;=F27,"Covered","Review")</x:f>
        <x:v>Covered</x:v>
      </x:c>
    </x:row>
    <x:row r="28" ht="28" customHeight="1">
      <x:c r="A28" s="8" t="str">
        <x:v>C2.1</x:v>
      </x:c>
      <x:c r="B28" s="9" t="str">
        <x:v>Interaction and interdependence</x:v>
      </x:c>
      <x:c r="C28" s="9" t="str">
        <x:v>Chemical signalling</x:v>
      </x:c>
      <x:c r="D28" s="8" t="str">
        <x:v>HL</x:v>
      </x:c>
      <x:c r="E28" s="8" t="n">
        <x:f>COUNTIF(DP_Terminology!$B$2:$B$674,A28)</x:f>
        <x:v>16</x:v>
      </x:c>
      <x:c r="F28" s="8" t="n">
        <x:v>10</x:v>
      </x:c>
      <x:c r="G28" s="8" t="str">
        <x:f>IF(E28&gt;=F28,"Covered","Review")</x:f>
        <x:v>Covered</x:v>
      </x:c>
    </x:row>
    <x:row r="29" ht="28" customHeight="1">
      <x:c r="A29" s="8" t="str">
        <x:v>C2.2</x:v>
      </x:c>
      <x:c r="B29" s="9" t="str">
        <x:v>Interaction and interdependence</x:v>
      </x:c>
      <x:c r="C29" s="9" t="str">
        <x:v>Neural signalling</x:v>
      </x:c>
      <x:c r="D29" s="8" t="str">
        <x:v>SL/HL</x:v>
      </x:c>
      <x:c r="E29" s="8" t="n">
        <x:f>COUNTIF(DP_Terminology!$B$2:$B$674,A29)</x:f>
        <x:v>17</x:v>
      </x:c>
      <x:c r="F29" s="8" t="n">
        <x:v>10</x:v>
      </x:c>
      <x:c r="G29" s="8" t="str">
        <x:f>IF(E29&gt;=F29,"Covered","Review")</x:f>
        <x:v>Covered</x:v>
      </x:c>
    </x:row>
    <x:row r="30" ht="28" customHeight="1">
      <x:c r="A30" s="8" t="str">
        <x:v>C3.1</x:v>
      </x:c>
      <x:c r="B30" s="9" t="str">
        <x:v>Interaction and interdependence</x:v>
      </x:c>
      <x:c r="C30" s="9" t="str">
        <x:v>Integration of body systems</x:v>
      </x:c>
      <x:c r="D30" s="8" t="str">
        <x:v>SL/HL</x:v>
      </x:c>
      <x:c r="E30" s="8" t="n">
        <x:f>COUNTIF(DP_Terminology!$B$2:$B$674,A30)</x:f>
        <x:v>16</x:v>
      </x:c>
      <x:c r="F30" s="8" t="n">
        <x:v>10</x:v>
      </x:c>
      <x:c r="G30" s="8" t="str">
        <x:f>IF(E30&gt;=F30,"Covered","Review")</x:f>
        <x:v>Covered</x:v>
      </x:c>
    </x:row>
    <x:row r="31" ht="28" customHeight="1">
      <x:c r="A31" s="8" t="str">
        <x:v>C3.2</x:v>
      </x:c>
      <x:c r="B31" s="9" t="str">
        <x:v>Interaction and interdependence</x:v>
      </x:c>
      <x:c r="C31" s="9" t="str">
        <x:v>Defence against disease</x:v>
      </x:c>
      <x:c r="D31" s="8" t="str">
        <x:v>SL/HL</x:v>
      </x:c>
      <x:c r="E31" s="8" t="n">
        <x:f>COUNTIF(DP_Terminology!$B$2:$B$674,A31)</x:f>
        <x:v>19</x:v>
      </x:c>
      <x:c r="F31" s="8" t="n">
        <x:v>10</x:v>
      </x:c>
      <x:c r="G31" s="8" t="str">
        <x:f>IF(E31&gt;=F31,"Covered","Review")</x:f>
        <x:v>Covered</x:v>
      </x:c>
    </x:row>
    <x:row r="32" ht="28" customHeight="1">
      <x:c r="A32" s="8" t="str">
        <x:v>C4.1</x:v>
      </x:c>
      <x:c r="B32" s="9" t="str">
        <x:v>Interaction and interdependence</x:v>
      </x:c>
      <x:c r="C32" s="9" t="str">
        <x:v>Populations and communities</x:v>
      </x:c>
      <x:c r="D32" s="8" t="str">
        <x:v>SL/HL</x:v>
      </x:c>
      <x:c r="E32" s="8" t="n">
        <x:f>COUNTIF(DP_Terminology!$B$2:$B$674,A32)</x:f>
        <x:v>18</x:v>
      </x:c>
      <x:c r="F32" s="8" t="n">
        <x:v>10</x:v>
      </x:c>
      <x:c r="G32" s="8" t="str">
        <x:f>IF(E32&gt;=F32,"Covered","Review")</x:f>
        <x:v>Covered</x:v>
      </x:c>
    </x:row>
    <x:row r="33" ht="28" customHeight="1">
      <x:c r="A33" s="8" t="str">
        <x:v>C4.2</x:v>
      </x:c>
      <x:c r="B33" s="9" t="str">
        <x:v>Interaction and interdependence</x:v>
      </x:c>
      <x:c r="C33" s="9" t="str">
        <x:v>Transfer of energy and matter</x:v>
      </x:c>
      <x:c r="D33" s="8" t="str">
        <x:v>SL/HL</x:v>
      </x:c>
      <x:c r="E33" s="8" t="n">
        <x:f>COUNTIF(DP_Terminology!$B$2:$B$674,A33)</x:f>
        <x:v>20</x:v>
      </x:c>
      <x:c r="F33" s="8" t="n">
        <x:v>10</x:v>
      </x:c>
      <x:c r="G33" s="8" t="str">
        <x:f>IF(E33&gt;=F33,"Covered","Review")</x:f>
        <x:v>Covered</x:v>
      </x:c>
    </x:row>
    <x:row r="34" ht="28" customHeight="1">
      <x:c r="A34" s="8" t="str">
        <x:v>D1.1</x:v>
      </x:c>
      <x:c r="B34" s="9" t="str">
        <x:v>Continuity and change</x:v>
      </x:c>
      <x:c r="C34" s="9" t="str">
        <x:v>DNA replication</x:v>
      </x:c>
      <x:c r="D34" s="8" t="str">
        <x:v>SL/HL</x:v>
      </x:c>
      <x:c r="E34" s="8" t="n">
        <x:f>COUNTIF(DP_Terminology!$B$2:$B$674,A34)</x:f>
        <x:v>16</x:v>
      </x:c>
      <x:c r="F34" s="8" t="n">
        <x:v>10</x:v>
      </x:c>
      <x:c r="G34" s="8" t="str">
        <x:f>IF(E34&gt;=F34,"Covered","Review")</x:f>
        <x:v>Covered</x:v>
      </x:c>
    </x:row>
    <x:row r="35" ht="28" customHeight="1">
      <x:c r="A35" s="8" t="str">
        <x:v>D1.2</x:v>
      </x:c>
      <x:c r="B35" s="9" t="str">
        <x:v>Continuity and change</x:v>
      </x:c>
      <x:c r="C35" s="9" t="str">
        <x:v>Protein synthesis</x:v>
      </x:c>
      <x:c r="D35" s="8" t="str">
        <x:v>SL/HL</x:v>
      </x:c>
      <x:c r="E35" s="8" t="n">
        <x:f>COUNTIF(DP_Terminology!$B$2:$B$674,A35)</x:f>
        <x:v>20</x:v>
      </x:c>
      <x:c r="F35" s="8" t="n">
        <x:v>10</x:v>
      </x:c>
      <x:c r="G35" s="8" t="str">
        <x:f>IF(E35&gt;=F35,"Covered","Review")</x:f>
        <x:v>Covered</x:v>
      </x:c>
    </x:row>
    <x:row r="36" ht="28" customHeight="1">
      <x:c r="A36" s="8" t="str">
        <x:v>D1.3</x:v>
      </x:c>
      <x:c r="B36" s="9" t="str">
        <x:v>Continuity and change</x:v>
      </x:c>
      <x:c r="C36" s="9" t="str">
        <x:v>Mutations and gene editing</x:v>
      </x:c>
      <x:c r="D36" s="8" t="str">
        <x:v>SL/HL</x:v>
      </x:c>
      <x:c r="E36" s="8" t="n">
        <x:f>COUNTIF(DP_Terminology!$B$2:$B$674,A36)</x:f>
        <x:v>18</x:v>
      </x:c>
      <x:c r="F36" s="8" t="n">
        <x:v>10</x:v>
      </x:c>
      <x:c r="G36" s="8" t="str">
        <x:f>IF(E36&gt;=F36,"Covered","Review")</x:f>
        <x:v>Covered</x:v>
      </x:c>
    </x:row>
    <x:row r="37" ht="28" customHeight="1">
      <x:c r="A37" s="8" t="str">
        <x:v>D2.1</x:v>
      </x:c>
      <x:c r="B37" s="9" t="str">
        <x:v>Continuity and change</x:v>
      </x:c>
      <x:c r="C37" s="9" t="str">
        <x:v>Cell and nuclear division</x:v>
      </x:c>
      <x:c r="D37" s="8" t="str">
        <x:v>SL/HL</x:v>
      </x:c>
      <x:c r="E37" s="8" t="n">
        <x:f>COUNTIF(DP_Terminology!$B$2:$B$674,A37)</x:f>
        <x:v>24</x:v>
      </x:c>
      <x:c r="F37" s="8" t="n">
        <x:v>10</x:v>
      </x:c>
      <x:c r="G37" s="8" t="str">
        <x:f>IF(E37&gt;=F37,"Covered","Review")</x:f>
        <x:v>Covered</x:v>
      </x:c>
    </x:row>
    <x:row r="38" ht="28" customHeight="1">
      <x:c r="A38" s="8" t="str">
        <x:v>D2.2</x:v>
      </x:c>
      <x:c r="B38" s="9" t="str">
        <x:v>Continuity and change</x:v>
      </x:c>
      <x:c r="C38" s="9" t="str">
        <x:v>Gene expression</x:v>
      </x:c>
      <x:c r="D38" s="8" t="str">
        <x:v>HL</x:v>
      </x:c>
      <x:c r="E38" s="8" t="n">
        <x:f>COUNTIF(DP_Terminology!$B$2:$B$674,A38)</x:f>
        <x:v>18</x:v>
      </x:c>
      <x:c r="F38" s="8" t="n">
        <x:v>10</x:v>
      </x:c>
      <x:c r="G38" s="8" t="str">
        <x:f>IF(E38&gt;=F38,"Covered","Review")</x:f>
        <x:v>Covered</x:v>
      </x:c>
    </x:row>
    <x:row r="39" ht="28" customHeight="1">
      <x:c r="A39" s="8" t="str">
        <x:v>D2.3</x:v>
      </x:c>
      <x:c r="B39" s="9" t="str">
        <x:v>Continuity and change</x:v>
      </x:c>
      <x:c r="C39" s="9" t="str">
        <x:v>Water potential</x:v>
      </x:c>
      <x:c r="D39" s="8" t="str">
        <x:v>SL/HL</x:v>
      </x:c>
      <x:c r="E39" s="8" t="n">
        <x:f>COUNTIF(DP_Terminology!$B$2:$B$674,A39)</x:f>
        <x:v>15</x:v>
      </x:c>
      <x:c r="F39" s="8" t="n">
        <x:v>10</x:v>
      </x:c>
      <x:c r="G39" s="8" t="str">
        <x:f>IF(E39&gt;=F39,"Covered","Review")</x:f>
        <x:v>Covered</x:v>
      </x:c>
    </x:row>
    <x:row r="40" ht="28" customHeight="1">
      <x:c r="A40" s="8" t="str">
        <x:v>D3.1</x:v>
      </x:c>
      <x:c r="B40" s="9" t="str">
        <x:v>Continuity and change</x:v>
      </x:c>
      <x:c r="C40" s="9" t="str">
        <x:v>Reproduction</x:v>
      </x:c>
      <x:c r="D40" s="8" t="str">
        <x:v>SL/HL</x:v>
      </x:c>
      <x:c r="E40" s="8" t="n">
        <x:f>COUNTIF(DP_Terminology!$B$2:$B$674,A40)</x:f>
        <x:v>20</x:v>
      </x:c>
      <x:c r="F40" s="8" t="n">
        <x:v>10</x:v>
      </x:c>
      <x:c r="G40" s="8" t="str">
        <x:f>IF(E40&gt;=F40,"Covered","Review")</x:f>
        <x:v>Covered</x:v>
      </x:c>
    </x:row>
    <x:row r="41" ht="28" customHeight="1">
      <x:c r="A41" s="8" t="str">
        <x:v>D3.2</x:v>
      </x:c>
      <x:c r="B41" s="9" t="str">
        <x:v>Continuity and change</x:v>
      </x:c>
      <x:c r="C41" s="9" t="str">
        <x:v>Inheritance</x:v>
      </x:c>
      <x:c r="D41" s="8" t="str">
        <x:v>SL/HL</x:v>
      </x:c>
      <x:c r="E41" s="8" t="n">
        <x:f>COUNTIF(DP_Terminology!$B$2:$B$674,A41)</x:f>
        <x:v>20</x:v>
      </x:c>
      <x:c r="F41" s="8" t="n">
        <x:v>10</x:v>
      </x:c>
      <x:c r="G41" s="8" t="str">
        <x:f>IF(E41&gt;=F41,"Covered","Review")</x:f>
        <x:v>Covered</x:v>
      </x:c>
    </x:row>
    <x:row r="42" ht="28" customHeight="1">
      <x:c r="A42" s="8" t="str">
        <x:v>D3.3</x:v>
      </x:c>
      <x:c r="B42" s="9" t="str">
        <x:v>Continuity and change</x:v>
      </x:c>
      <x:c r="C42" s="9" t="str">
        <x:v>Homeostasis</x:v>
      </x:c>
      <x:c r="D42" s="8" t="str">
        <x:v>SL/HL</x:v>
      </x:c>
      <x:c r="E42" s="8" t="n">
        <x:f>COUNTIF(DP_Terminology!$B$2:$B$674,A42)</x:f>
        <x:v>15</x:v>
      </x:c>
      <x:c r="F42" s="8" t="n">
        <x:v>10</x:v>
      </x:c>
      <x:c r="G42" s="8" t="str">
        <x:f>IF(E42&gt;=F42,"Covered","Review")</x:f>
        <x:v>Covered</x:v>
      </x:c>
    </x:row>
    <x:row r="43" ht="28" customHeight="1">
      <x:c r="A43" s="8" t="str">
        <x:v>D4.1</x:v>
      </x:c>
      <x:c r="B43" s="9" t="str">
        <x:v>Continuity and change</x:v>
      </x:c>
      <x:c r="C43" s="9" t="str">
        <x:v>Natural selection</x:v>
      </x:c>
      <x:c r="D43" s="8" t="str">
        <x:v>SL/HL</x:v>
      </x:c>
      <x:c r="E43" s="8" t="n">
        <x:f>COUNTIF(DP_Terminology!$B$2:$B$674,A43)</x:f>
        <x:v>17</x:v>
      </x:c>
      <x:c r="F43" s="8" t="n">
        <x:v>10</x:v>
      </x:c>
      <x:c r="G43" s="8" t="str">
        <x:f>IF(E43&gt;=F43,"Covered","Review")</x:f>
        <x:v>Covered</x:v>
      </x:c>
    </x:row>
    <x:row r="44" ht="28" customHeight="1">
      <x:c r="A44" s="8" t="str">
        <x:v>D4.2</x:v>
      </x:c>
      <x:c r="B44" s="9" t="str">
        <x:v>Continuity and change</x:v>
      </x:c>
      <x:c r="C44" s="9" t="str">
        <x:v>Sustainability and change</x:v>
      </x:c>
      <x:c r="D44" s="8" t="str">
        <x:v>SL/HL</x:v>
      </x:c>
      <x:c r="E44" s="8" t="n">
        <x:f>COUNTIF(DP_Terminology!$B$2:$B$674,A44)</x:f>
        <x:v>16</x:v>
      </x:c>
      <x:c r="F44" s="8" t="n">
        <x:v>10</x:v>
      </x:c>
      <x:c r="G44" s="8" t="str">
        <x:f>IF(E44&gt;=F44,"Covered","Review")</x:f>
        <x:v>Covered</x:v>
      </x:c>
    </x:row>
    <x:row r="45" ht="28" customHeight="1">
      <x:c r="A45" s="8" t="str">
        <x:v>D4.3</x:v>
      </x:c>
      <x:c r="B45" s="9" t="str">
        <x:v>Continuity and change</x:v>
      </x:c>
      <x:c r="C45" s="9" t="str">
        <x:v>Climate change</x:v>
      </x:c>
      <x:c r="D45" s="8" t="str">
        <x:v>SL/HL</x:v>
      </x:c>
      <x:c r="E45" s="8" t="n">
        <x:f>COUNTIF(DP_Terminology!$B$2:$B$674,A45)</x:f>
        <x:v>20</x:v>
      </x:c>
      <x:c r="F45" s="8" t="n">
        <x:v>10</x:v>
      </x:c>
      <x:c r="G45" s="8" t="str">
        <x:f>IF(E45&gt;=F45,"Covered","Review")</x:f>
        <x:v>Covered</x:v>
      </x:c>
    </x:row>
  </x:sheetData>
  <x:mergeCells>
    <x:mergeCell ref="A1:G2"/>
    <x:mergeCell ref="A3:G3"/>
  </x:mergeCells>
  <x:conditionalFormatting sqref="G6:G45">
    <x:cfRule type="containsText" dxfId="0" priority="1" operator="containsText" text="Covered"/>
  </x:conditionalFormatting>
  <x:pageMargins left="0.7" right="0.7" top="0.75" bottom="0.75" header="0.3" footer="0.3"/>
  <x:drawing xmlns:r="http://schemas.openxmlformats.org/officeDocument/2006/relationships" r:id="R9ab6950c832a4dd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4" hidden="0" customWidth="1"/>
    <x:col min="3" max="3" width="68" hidden="0" customWidth="1"/>
    <x:col min="4" max="4" width="14" hidden="0" customWidth="1"/>
  </x:cols>
  <x:sheetData>
    <x:row r="1">
      <x:c r="A1" s="11" t="str">
        <x:v>Content and question audit</x:v>
      </x:c>
      <x:c r="B1" s="11"/>
      <x:c r="C1" s="11"/>
      <x:c r="D1" s="11"/>
      <x:c r="E1" s="11"/>
      <x:c r="F1" s="11"/>
    </x:row>
    <x:row r="2">
      <x:c r="A2" s="11"/>
      <x:c r="B2" s="11"/>
      <x:c r="C2" s="11"/>
      <x:c r="D2" s="11"/>
      <x:c r="E2" s="11"/>
      <x:c r="F2" s="11"/>
    </x:row>
    <x:row r="3">
      <x:c r="A3" s="13" t="str">
        <x:v>Definitions are prompts and short biological terms are choices. Automated checks generate every possible item across six deterministic seeds.</x:v>
      </x:c>
      <x:c r="B3" s="13"/>
      <x:c r="C3" s="13"/>
      <x:c r="D3" s="13"/>
      <x:c r="E3" s="13"/>
      <x:c r="F3" s="13"/>
    </x:row>
    <x:row r="5">
      <x:c r="A5" s="5" t="str">
        <x:v>Metric</x:v>
      </x:c>
      <x:c r="B5" s="5" t="str">
        <x:v>Result</x:v>
      </x:c>
      <x:c r="C5" s="5" t="str">
        <x:v>Requirement</x:v>
      </x:c>
      <x:c r="D5" s="5" t="str">
        <x:v>Status</x:v>
      </x:c>
    </x:row>
    <x:row r="6">
      <x:c r="A6" s="8" t="str">
        <x:v>Official DP topics</x:v>
      </x:c>
      <x:c r="B6" s="8" t="n">
        <x:f>COUNTA(Coverage!$A$6:$A$45)</x:f>
        <x:v>40</x:v>
      </x:c>
      <x:c r="C6" s="8" t="n">
        <x:v>40</x:v>
      </x:c>
      <x:c r="D6" s="8" t="str">
        <x:f>IF(B6=C6,"Pass","Review")</x:f>
        <x:v>Pass</x:v>
      </x:c>
    </x:row>
    <x:row r="7">
      <x:c r="A7" s="8" t="str">
        <x:v>DP terminology entries</x:v>
      </x:c>
      <x:c r="B7" s="8" t="n">
        <x:f>COUNTA(DP_Terminology!$A$2:$A$674)</x:f>
        <x:v>673</x:v>
      </x:c>
      <x:c r="C7" s="8" t="n">
        <x:v>673</x:v>
      </x:c>
      <x:c r="D7" s="8" t="str">
        <x:f>IF(B7=C7,"Pass","Review")</x:f>
        <x:v>Pass</x:v>
      </x:c>
    </x:row>
    <x:row r="8">
      <x:c r="A8" s="8" t="str">
        <x:v>HL-only topics</x:v>
      </x:c>
      <x:c r="B8" s="8" t="n">
        <x:f>COUNTIF(Coverage!$D$6:$D$45,"HL")</x:f>
        <x:v>6</x:v>
      </x:c>
      <x:c r="C8" s="8" t="n">
        <x:v>6</x:v>
      </x:c>
      <x:c r="D8" s="8" t="str">
        <x:f>IF(B8=C8,"Pass","Review")</x:f>
        <x:v>Pass</x:v>
      </x:c>
    </x:row>
    <x:row r="9">
      <x:c r="A9" s="8" t="str">
        <x:v>Biological word parts</x:v>
      </x:c>
      <x:c r="B9" s="8" t="n">
        <x:f>COUNTA(Word_Parts!$A$2:$A$107)</x:f>
        <x:v>106</x:v>
      </x:c>
      <x:c r="C9" s="8" t="n">
        <x:v>106</x:v>
      </x:c>
      <x:c r="D9" s="8" t="str">
        <x:f>IF(B9=C9,"Pass","Review")</x:f>
        <x:v>Pass</x:v>
      </x:c>
    </x:row>
    <x:row r="10">
      <x:c r="A10" s="8" t="str">
        <x:v>Total verified entries</x:v>
      </x:c>
      <x:c r="B10" s="8" t="n">
        <x:f>B7+B9</x:f>
        <x:v>779</x:v>
      </x:c>
      <x:c r="C10" s="8" t="n">
        <x:v>779</x:v>
      </x:c>
      <x:c r="D10" s="8" t="str">
        <x:f>IF(B10=C10,"Pass","Review")</x:f>
        <x:v>Pass</x:v>
      </x:c>
    </x:row>
    <x:row r="11">
      <x:c r="A11" s="8" t="str">
        <x:v>DP rows marked verified</x:v>
      </x:c>
      <x:c r="B11" s="8" t="n">
        <x:f>COUNTIF(DP_Terminology!$J$2:$J$674,"Verified")</x:f>
        <x:v>673</x:v>
      </x:c>
      <x:c r="C11" s="8" t="n">
        <x:v>673</x:v>
      </x:c>
      <x:c r="D11" s="8" t="str">
        <x:f>IF(B11=C11,"Pass","Review")</x:f>
        <x:v>Pass</x:v>
      </x:c>
    </x:row>
    <x:row r="12">
      <x:c r="A12" s="8" t="str">
        <x:v>Root rows marked verified</x:v>
      </x:c>
      <x:c r="B12" s="8" t="n">
        <x:f>COUNTIF(Word_Parts!$H$2:$H$107,"Verified")</x:f>
        <x:v>106</x:v>
      </x:c>
      <x:c r="C12" s="8" t="n">
        <x:v>106</x:v>
      </x:c>
      <x:c r="D12" s="8" t="str">
        <x:f>IF(B12=C12,"Pass","Review")</x:f>
        <x:v>Pass</x:v>
      </x:c>
    </x:row>
    <x:row r="13">
      <x:c r="A13" s="8" t="str">
        <x:v>Question templates audited</x:v>
      </x:c>
      <x:c r="B13" s="8" t="n">
        <x:f>B10</x:f>
        <x:v>779</x:v>
      </x:c>
      <x:c r="C13" s="8" t="n">
        <x:v>779</x:v>
      </x:c>
      <x:c r="D13" s="8" t="str">
        <x:f>IF(B13=C13,"Pass","Review")</x:f>
        <x:v>Pass</x:v>
      </x:c>
    </x:row>
    <x:row r="14">
      <x:c r="A14" s="8" t="str">
        <x:v>Deterministic audit seeds</x:v>
      </x:c>
      <x:c r="B14" s="8" t="n">
        <x:v>6</x:v>
      </x:c>
      <x:c r="C14" s="8" t="n">
        <x:v>6</x:v>
      </x:c>
      <x:c r="D14" s="8" t="str">
        <x:f>IF(B14=C14,"Pass","Review")</x:f>
        <x:v>Pass</x:v>
      </x:c>
    </x:row>
    <x:row r="15">
      <x:c r="A15" s="8" t="str">
        <x:v>Generated instances checked</x:v>
      </x:c>
      <x:c r="B15" s="8" t="n">
        <x:f>B13*B14</x:f>
        <x:v>4674</x:v>
      </x:c>
      <x:c r="C15" s="8" t="n">
        <x:v>4674</x:v>
      </x:c>
      <x:c r="D15" s="8" t="str">
        <x:f>IF(B15=C15,"Pass","Review")</x:f>
        <x:v>Pass</x:v>
      </x:c>
    </x:row>
    <x:row r="18">
      <x:c r="A18" s="5" t="str">
        <x:v>Source</x:v>
      </x:c>
      <x:c r="B18" s="5" t="str">
        <x:v>Use</x:v>
      </x:c>
      <x:c r="C18" s="5" t="str">
        <x:v>URL</x:v>
      </x:c>
    </x:row>
    <x:row r="19" ht="38" customHeight="1">
      <x:c r="A19" s="9" t="str">
        <x:v>IB Diploma Programme Biology</x:v>
      </x:c>
      <x:c r="B19" s="9" t="str">
        <x:v>40-topic alignment and HL-only topic identification</x:v>
      </x:c>
      <x:c r="C19" s="9" t="str">
        <x:v>https://ibo.org/globalassets/new-structure/recognition/pdfs/dp_sciences_biology_subject-brief_jan_2022_e.pdf</x:v>
      </x:c>
    </x:row>
    <x:row r="20" ht="38" customHeight="1">
      <x:c r="A20" s="9" t="str">
        <x:v>OpenStax Biology 2e</x:v>
      </x:c>
      <x:c r="B20" s="9" t="str">
        <x:v>Core cell, molecular, organismal, and ecological definitions</x:v>
      </x:c>
      <x:c r="C20" s="9" t="str">
        <x:v>https://openstax.org/books/biology-2e/pages/1-introduction</x:v>
      </x:c>
    </x:row>
    <x:row r="21" ht="38" customHeight="1">
      <x:c r="A21" s="9" t="str">
        <x:v>NHGRI</x:v>
      </x:c>
      <x:c r="B21" s="9" t="str">
        <x:v>Genome editing and mutation terminology</x:v>
      </x:c>
      <x:c r="C21" s="9" t="str">
        <x:v>https://www.genome.gov/about-genomics/policy-issues/what-is-Genome-Editing</x:v>
      </x:c>
    </x:row>
    <x:row r="22" ht="38" customHeight="1">
      <x:c r="A22" s="9" t="str">
        <x:v>IUCN</x:v>
      </x:c>
      <x:c r="B22" s="9" t="str">
        <x:v>Biodiversity and conservation terminology</x:v>
      </x:c>
      <x:c r="C22" s="9" t="str">
        <x:v>https://iucn.org/our-work/biodiversity</x:v>
      </x:c>
    </x:row>
    <x:row r="23" ht="38" customHeight="1">
      <x:c r="A23" s="9" t="str">
        <x:v>IPCC AR6</x:v>
      </x:c>
      <x:c r="B23" s="9" t="str">
        <x:v>Climate terminology</x:v>
      </x:c>
      <x:c r="C23" s="9" t="str">
        <x:v>https://www.ipcc.ch/report/ar6/wg1/downloads/report/IPCC_AR6_WGI_Annex_VII.pdf</x:v>
      </x:c>
    </x:row>
    <x:row r="24" ht="38" customHeight="1">
      <x:c r="A24" s="9" t="str">
        <x:v>MedlinePlus</x:v>
      </x:c>
      <x:c r="B24" s="9" t="str">
        <x:v>Biological and medical word parts</x:v>
      </x:c>
      <x:c r="C24" s="9" t="str">
        <x:v>https://medlineplus.gov/appendixa.html</x:v>
      </x:c>
    </x:row>
  </x:sheetData>
  <x:mergeCells>
    <x:mergeCell ref="A1:F2"/>
    <x:mergeCell ref="A3:F3"/>
  </x:mergeCells>
  <x:conditionalFormatting sqref="D6:D15">
    <x:cfRule type="containsText" dxfId="1" priority="1" operator="containsText" text="Pass"/>
  </x:conditionalFormatting>
  <x:pageMargins left="0.7" right="0.7" top="0.75" bottom="0.75" header="0.3" footer="0.3"/>
</x:worksheet>
</file>